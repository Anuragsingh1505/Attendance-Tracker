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B081A84-7568-4FFD-A57E-ECD21FA3B0FD}" xr6:coauthVersionLast="47" xr6:coauthVersionMax="47" xr10:uidLastSave="{00000000-0000-0000-0000-000000000000}"/>
  <bookViews>
    <workbookView xWindow="-108" yWindow="-108" windowWidth="23256" windowHeight="12456" firstSheet="2" activeTab="3" xr2:uid="{2182D6D5-6E81-46BB-807C-7B5FE29CCD35}"/>
  </bookViews>
  <sheets>
    <sheet name="Sheet1" sheetId="1" r:id="rId1"/>
    <sheet name="Sheet3" sheetId="4" r:id="rId2"/>
    <sheet name="Rough" sheetId="3" r:id="rId3"/>
    <sheet name="jan" sheetId="2" r:id="rId4"/>
    <sheet name="Feb" sheetId="5" r:id="rId5"/>
    <sheet name="Mar" sheetId="6" r:id="rId6"/>
    <sheet name="Apr" sheetId="7" r:id="rId7"/>
    <sheet name="May" sheetId="8" r:id="rId8"/>
    <sheet name="Jun" sheetId="9" r:id="rId9"/>
    <sheet name="Jul" sheetId="10" r:id="rId10"/>
    <sheet name="Aug" sheetId="11" r:id="rId11"/>
    <sheet name="Sept" sheetId="12" r:id="rId12"/>
    <sheet name="Oct" sheetId="13" r:id="rId13"/>
    <sheet name="Nov" sheetId="14" r:id="rId14"/>
    <sheet name="Dec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9" i="15" l="1"/>
  <c r="AV10" i="15"/>
  <c r="AV11" i="15"/>
  <c r="AV12" i="15"/>
  <c r="AV13" i="15"/>
  <c r="AV14" i="15"/>
  <c r="AV15" i="15"/>
  <c r="AV16" i="15"/>
  <c r="AV17" i="15"/>
  <c r="AV18" i="15"/>
  <c r="AV19" i="15"/>
  <c r="AV20" i="15"/>
  <c r="AV21" i="15"/>
  <c r="AV22" i="15"/>
  <c r="AV23" i="15"/>
  <c r="AV24" i="15"/>
  <c r="AV25" i="15"/>
  <c r="AV26" i="15"/>
  <c r="AV27" i="15"/>
  <c r="AV28" i="15"/>
  <c r="AO7" i="10"/>
  <c r="AO7" i="8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K7" i="5"/>
  <c r="K8" i="15"/>
  <c r="H6" i="15"/>
  <c r="I4" i="15" s="1"/>
  <c r="I5" i="15"/>
  <c r="AT27" i="15" s="1"/>
  <c r="K8" i="14"/>
  <c r="K7" i="14" s="1"/>
  <c r="H6" i="14"/>
  <c r="I4" i="14" s="1"/>
  <c r="AZ9" i="14" s="1"/>
  <c r="I5" i="14"/>
  <c r="K8" i="13"/>
  <c r="K7" i="13" s="1"/>
  <c r="H6" i="13"/>
  <c r="I4" i="13" s="1"/>
  <c r="AZ27" i="13" s="1"/>
  <c r="I5" i="13"/>
  <c r="AT12" i="13" s="1"/>
  <c r="K8" i="12"/>
  <c r="H6" i="12"/>
  <c r="I4" i="12" s="1"/>
  <c r="AZ9" i="12" s="1"/>
  <c r="I5" i="12"/>
  <c r="AT10" i="12" s="1"/>
  <c r="K8" i="11"/>
  <c r="H6" i="11"/>
  <c r="I4" i="11" s="1"/>
  <c r="I5" i="11"/>
  <c r="K8" i="10"/>
  <c r="H6" i="10"/>
  <c r="I4" i="10" s="1"/>
  <c r="I5" i="10"/>
  <c r="K8" i="9"/>
  <c r="K7" i="9"/>
  <c r="H6" i="9"/>
  <c r="I4" i="9" s="1"/>
  <c r="AZ13" i="9" s="1"/>
  <c r="I5" i="9"/>
  <c r="K8" i="8"/>
  <c r="K7" i="8"/>
  <c r="H6" i="8"/>
  <c r="I4" i="8" s="1"/>
  <c r="AZ10" i="8" s="1"/>
  <c r="I5" i="8"/>
  <c r="AT12" i="8" s="1"/>
  <c r="K8" i="7"/>
  <c r="K7" i="7" s="1"/>
  <c r="H6" i="7"/>
  <c r="I4" i="7" s="1"/>
  <c r="I5" i="7"/>
  <c r="AT27" i="7" s="1"/>
  <c r="K8" i="6"/>
  <c r="K7" i="6" s="1"/>
  <c r="H6" i="6"/>
  <c r="I4" i="6" s="1"/>
  <c r="I5" i="6"/>
  <c r="AT27" i="6" s="1"/>
  <c r="K8" i="5"/>
  <c r="H6" i="5"/>
  <c r="I4" i="5" s="1"/>
  <c r="I5" i="5"/>
  <c r="AT10" i="5" s="1"/>
  <c r="H6" i="2"/>
  <c r="I4" i="2" s="1"/>
  <c r="AZ10" i="2" s="1"/>
  <c r="I5" i="2"/>
  <c r="AT10" i="2" s="1"/>
  <c r="K8" i="2"/>
  <c r="K7" i="2" s="1"/>
  <c r="AZ17" i="13" l="1"/>
  <c r="L8" i="13"/>
  <c r="M8" i="13" s="1"/>
  <c r="M7" i="13" s="1"/>
  <c r="L8" i="12"/>
  <c r="M8" i="12" s="1"/>
  <c r="AZ11" i="12"/>
  <c r="L8" i="11"/>
  <c r="AZ12" i="8"/>
  <c r="AZ15" i="8"/>
  <c r="BC15" i="8" s="1"/>
  <c r="AZ13" i="8"/>
  <c r="BC13" i="8" s="1"/>
  <c r="AZ17" i="8"/>
  <c r="AZ21" i="8"/>
  <c r="BC21" i="8" s="1"/>
  <c r="AZ23" i="8"/>
  <c r="AT26" i="8"/>
  <c r="AT14" i="8"/>
  <c r="L8" i="8"/>
  <c r="AZ9" i="8"/>
  <c r="AT20" i="5"/>
  <c r="AZ28" i="15"/>
  <c r="AZ26" i="15"/>
  <c r="AZ24" i="15"/>
  <c r="AZ22" i="15"/>
  <c r="AZ20" i="15"/>
  <c r="AZ18" i="15"/>
  <c r="AZ16" i="15"/>
  <c r="AZ14" i="15"/>
  <c r="AZ12" i="15"/>
  <c r="AZ10" i="15"/>
  <c r="AZ27" i="15"/>
  <c r="AZ25" i="15"/>
  <c r="K7" i="15"/>
  <c r="L8" i="15"/>
  <c r="AZ17" i="15"/>
  <c r="AZ15" i="15"/>
  <c r="AZ23" i="15"/>
  <c r="AZ11" i="15"/>
  <c r="AZ13" i="15"/>
  <c r="AZ21" i="15"/>
  <c r="AZ9" i="15"/>
  <c r="AZ19" i="15"/>
  <c r="AT10" i="15"/>
  <c r="AT12" i="15"/>
  <c r="AT14" i="15"/>
  <c r="AT16" i="15"/>
  <c r="AT18" i="15"/>
  <c r="AT20" i="15"/>
  <c r="AT22" i="15"/>
  <c r="AT24" i="15"/>
  <c r="AT26" i="15"/>
  <c r="AT28" i="15"/>
  <c r="AT9" i="15"/>
  <c r="AT11" i="15"/>
  <c r="AT13" i="15"/>
  <c r="AT15" i="15"/>
  <c r="AT17" i="15"/>
  <c r="AT19" i="15"/>
  <c r="AT21" i="15"/>
  <c r="AT23" i="15"/>
  <c r="AT25" i="15"/>
  <c r="BC9" i="14"/>
  <c r="AT27" i="14"/>
  <c r="AT25" i="14"/>
  <c r="AT23" i="14"/>
  <c r="AT21" i="14"/>
  <c r="AT19" i="14"/>
  <c r="AT17" i="14"/>
  <c r="AT15" i="14"/>
  <c r="AT13" i="14"/>
  <c r="AT11" i="14"/>
  <c r="AT9" i="14"/>
  <c r="AT28" i="14"/>
  <c r="AT26" i="14"/>
  <c r="AT24" i="14"/>
  <c r="AT22" i="14"/>
  <c r="AT20" i="14"/>
  <c r="AT12" i="14"/>
  <c r="AT18" i="14"/>
  <c r="AT10" i="14"/>
  <c r="AT16" i="14"/>
  <c r="AT14" i="14"/>
  <c r="AZ28" i="14"/>
  <c r="AZ26" i="14"/>
  <c r="AZ24" i="14"/>
  <c r="AZ22" i="14"/>
  <c r="AZ20" i="14"/>
  <c r="AZ18" i="14"/>
  <c r="AZ16" i="14"/>
  <c r="AZ14" i="14"/>
  <c r="AZ12" i="14"/>
  <c r="AZ10" i="14"/>
  <c r="AZ27" i="14"/>
  <c r="AZ25" i="14"/>
  <c r="AZ23" i="14"/>
  <c r="AZ21" i="14"/>
  <c r="AZ19" i="14"/>
  <c r="AZ17" i="14"/>
  <c r="AZ11" i="14"/>
  <c r="AZ15" i="14"/>
  <c r="AZ13" i="14"/>
  <c r="L8" i="14"/>
  <c r="BC27" i="13"/>
  <c r="AT20" i="13"/>
  <c r="AZ25" i="13"/>
  <c r="AZ23" i="13"/>
  <c r="BC17" i="13"/>
  <c r="L7" i="13"/>
  <c r="AZ15" i="13"/>
  <c r="AT22" i="13"/>
  <c r="AT16" i="13"/>
  <c r="AT14" i="13"/>
  <c r="AZ19" i="13"/>
  <c r="N8" i="13"/>
  <c r="AZ13" i="13"/>
  <c r="AT18" i="13"/>
  <c r="AZ28" i="13"/>
  <c r="AZ26" i="13"/>
  <c r="AZ24" i="13"/>
  <c r="AZ22" i="13"/>
  <c r="AZ20" i="13"/>
  <c r="AZ18" i="13"/>
  <c r="AZ16" i="13"/>
  <c r="AZ14" i="13"/>
  <c r="AZ12" i="13"/>
  <c r="AZ10" i="13"/>
  <c r="AZ21" i="13"/>
  <c r="AT27" i="13"/>
  <c r="AT25" i="13"/>
  <c r="AT23" i="13"/>
  <c r="AT21" i="13"/>
  <c r="AT19" i="13"/>
  <c r="AT17" i="13"/>
  <c r="AT15" i="13"/>
  <c r="AT13" i="13"/>
  <c r="AT11" i="13"/>
  <c r="AT9" i="13"/>
  <c r="AT28" i="13"/>
  <c r="AT26" i="13"/>
  <c r="AT24" i="13"/>
  <c r="AZ9" i="13"/>
  <c r="AZ11" i="13"/>
  <c r="AT10" i="13"/>
  <c r="BC9" i="12"/>
  <c r="AT12" i="12"/>
  <c r="AZ13" i="12"/>
  <c r="BC11" i="12"/>
  <c r="AT14" i="12"/>
  <c r="AT27" i="12"/>
  <c r="AT25" i="12"/>
  <c r="AT23" i="12"/>
  <c r="AT21" i="12"/>
  <c r="AT19" i="12"/>
  <c r="AT17" i="12"/>
  <c r="AT15" i="12"/>
  <c r="AT13" i="12"/>
  <c r="AT11" i="12"/>
  <c r="AT9" i="12"/>
  <c r="AT28" i="12"/>
  <c r="AT26" i="12"/>
  <c r="AT24" i="12"/>
  <c r="AT22" i="12"/>
  <c r="AT20" i="12"/>
  <c r="AT18" i="12"/>
  <c r="AT16" i="12"/>
  <c r="K7" i="12"/>
  <c r="AZ28" i="12"/>
  <c r="AZ26" i="12"/>
  <c r="AZ24" i="12"/>
  <c r="AZ22" i="12"/>
  <c r="AZ20" i="12"/>
  <c r="AZ18" i="12"/>
  <c r="AZ16" i="12"/>
  <c r="AZ14" i="12"/>
  <c r="AZ12" i="12"/>
  <c r="AZ10" i="12"/>
  <c r="AZ27" i="12"/>
  <c r="AZ25" i="12"/>
  <c r="AZ23" i="12"/>
  <c r="AZ21" i="12"/>
  <c r="AZ19" i="12"/>
  <c r="AZ17" i="12"/>
  <c r="AZ15" i="12"/>
  <c r="L7" i="12"/>
  <c r="AZ28" i="11"/>
  <c r="AZ26" i="11"/>
  <c r="AZ24" i="11"/>
  <c r="AZ22" i="11"/>
  <c r="AZ20" i="11"/>
  <c r="AZ18" i="11"/>
  <c r="AZ16" i="11"/>
  <c r="AZ14" i="11"/>
  <c r="AZ12" i="11"/>
  <c r="AZ10" i="11"/>
  <c r="AZ27" i="11"/>
  <c r="AZ25" i="11"/>
  <c r="AZ23" i="11"/>
  <c r="AZ21" i="11"/>
  <c r="AZ11" i="11"/>
  <c r="AZ15" i="11"/>
  <c r="AZ13" i="11"/>
  <c r="AZ17" i="11"/>
  <c r="AZ19" i="11"/>
  <c r="AZ9" i="11"/>
  <c r="AT27" i="11"/>
  <c r="AT25" i="11"/>
  <c r="AT23" i="11"/>
  <c r="AT21" i="11"/>
  <c r="AT19" i="11"/>
  <c r="AT17" i="11"/>
  <c r="AT15" i="11"/>
  <c r="AT13" i="11"/>
  <c r="AT11" i="11"/>
  <c r="AT9" i="11"/>
  <c r="AT28" i="11"/>
  <c r="AT26" i="11"/>
  <c r="AT24" i="11"/>
  <c r="AT22" i="11"/>
  <c r="AT20" i="11"/>
  <c r="AT14" i="11"/>
  <c r="K7" i="11"/>
  <c r="AT18" i="11"/>
  <c r="AT12" i="11"/>
  <c r="AT10" i="11"/>
  <c r="AT16" i="11"/>
  <c r="AT27" i="10"/>
  <c r="AT25" i="10"/>
  <c r="AT23" i="10"/>
  <c r="AT21" i="10"/>
  <c r="AT19" i="10"/>
  <c r="AT17" i="10"/>
  <c r="AT15" i="10"/>
  <c r="AT13" i="10"/>
  <c r="AT11" i="10"/>
  <c r="AT9" i="10"/>
  <c r="AT28" i="10"/>
  <c r="AT26" i="10"/>
  <c r="AT24" i="10"/>
  <c r="AT22" i="10"/>
  <c r="AT20" i="10"/>
  <c r="AT18" i="10"/>
  <c r="AT16" i="10"/>
  <c r="AT14" i="10"/>
  <c r="AT12" i="10"/>
  <c r="AT10" i="10"/>
  <c r="AZ28" i="10"/>
  <c r="AZ26" i="10"/>
  <c r="AZ24" i="10"/>
  <c r="AZ22" i="10"/>
  <c r="AZ20" i="10"/>
  <c r="AZ18" i="10"/>
  <c r="AZ16" i="10"/>
  <c r="AZ14" i="10"/>
  <c r="AZ12" i="10"/>
  <c r="AZ10" i="10"/>
  <c r="AZ27" i="10"/>
  <c r="AZ25" i="10"/>
  <c r="AZ23" i="10"/>
  <c r="AZ21" i="10"/>
  <c r="AZ19" i="10"/>
  <c r="AZ17" i="10"/>
  <c r="AZ15" i="10"/>
  <c r="AZ13" i="10"/>
  <c r="AZ11" i="10"/>
  <c r="AZ9" i="10"/>
  <c r="K7" i="10"/>
  <c r="L8" i="10"/>
  <c r="BC13" i="9"/>
  <c r="K15" i="9"/>
  <c r="AZ11" i="9"/>
  <c r="K13" i="9"/>
  <c r="AZ17" i="9"/>
  <c r="AZ21" i="9"/>
  <c r="K23" i="9"/>
  <c r="AT27" i="9"/>
  <c r="AT25" i="9"/>
  <c r="AT23" i="9"/>
  <c r="AT21" i="9"/>
  <c r="AT19" i="9"/>
  <c r="AT17" i="9"/>
  <c r="AT15" i="9"/>
  <c r="AT13" i="9"/>
  <c r="AT11" i="9"/>
  <c r="AT9" i="9"/>
  <c r="AT28" i="9"/>
  <c r="AT26" i="9"/>
  <c r="AT24" i="9"/>
  <c r="AT22" i="9"/>
  <c r="AT20" i="9"/>
  <c r="AT18" i="9"/>
  <c r="AT16" i="9"/>
  <c r="AZ9" i="9"/>
  <c r="AZ28" i="9"/>
  <c r="AZ26" i="9"/>
  <c r="AZ24" i="9"/>
  <c r="AZ22" i="9"/>
  <c r="AZ20" i="9"/>
  <c r="AZ18" i="9"/>
  <c r="AZ16" i="9"/>
  <c r="AZ14" i="9"/>
  <c r="AZ12" i="9"/>
  <c r="AZ10" i="9"/>
  <c r="AZ27" i="9"/>
  <c r="AZ25" i="9"/>
  <c r="AZ23" i="9"/>
  <c r="AZ19" i="9"/>
  <c r="AT14" i="9"/>
  <c r="K21" i="9"/>
  <c r="K28" i="9"/>
  <c r="K26" i="9"/>
  <c r="K24" i="9"/>
  <c r="K22" i="9"/>
  <c r="K20" i="9"/>
  <c r="K18" i="9"/>
  <c r="K16" i="9"/>
  <c r="K14" i="9"/>
  <c r="K12" i="9"/>
  <c r="K10" i="9"/>
  <c r="K27" i="9"/>
  <c r="K25" i="9"/>
  <c r="AZ15" i="9"/>
  <c r="K11" i="9"/>
  <c r="L8" i="9"/>
  <c r="AT12" i="9"/>
  <c r="K9" i="9"/>
  <c r="AT10" i="9"/>
  <c r="K17" i="9"/>
  <c r="K19" i="9"/>
  <c r="M8" i="8"/>
  <c r="L7" i="8"/>
  <c r="BC10" i="8"/>
  <c r="BC17" i="8"/>
  <c r="BC23" i="8"/>
  <c r="AT20" i="8"/>
  <c r="AT10" i="8"/>
  <c r="AT18" i="8"/>
  <c r="AT24" i="8"/>
  <c r="BC12" i="8"/>
  <c r="AT22" i="8"/>
  <c r="BC9" i="8"/>
  <c r="AZ19" i="8"/>
  <c r="AT27" i="8"/>
  <c r="AT25" i="8"/>
  <c r="AT23" i="8"/>
  <c r="AT21" i="8"/>
  <c r="AT19" i="8"/>
  <c r="AT17" i="8"/>
  <c r="AT15" i="8"/>
  <c r="AT13" i="8"/>
  <c r="AT11" i="8"/>
  <c r="AT9" i="8"/>
  <c r="AT28" i="8"/>
  <c r="AT16" i="8"/>
  <c r="AZ16" i="8"/>
  <c r="AZ28" i="8"/>
  <c r="AZ26" i="8"/>
  <c r="AZ24" i="8"/>
  <c r="AZ22" i="8"/>
  <c r="AZ20" i="8"/>
  <c r="AZ18" i="8"/>
  <c r="AZ14" i="8"/>
  <c r="AZ27" i="8"/>
  <c r="AZ11" i="8"/>
  <c r="AZ25" i="8"/>
  <c r="AZ28" i="7"/>
  <c r="AZ26" i="7"/>
  <c r="AZ24" i="7"/>
  <c r="AZ22" i="7"/>
  <c r="AZ20" i="7"/>
  <c r="AZ18" i="7"/>
  <c r="AZ16" i="7"/>
  <c r="AZ14" i="7"/>
  <c r="AZ12" i="7"/>
  <c r="AZ10" i="7"/>
  <c r="AZ11" i="7"/>
  <c r="AZ27" i="7"/>
  <c r="AZ25" i="7"/>
  <c r="AZ23" i="7"/>
  <c r="AZ21" i="7"/>
  <c r="AZ19" i="7"/>
  <c r="AZ17" i="7"/>
  <c r="AZ15" i="7"/>
  <c r="AZ13" i="7"/>
  <c r="AZ9" i="7"/>
  <c r="AT10" i="7"/>
  <c r="AT12" i="7"/>
  <c r="AT14" i="7"/>
  <c r="AT16" i="7"/>
  <c r="AT18" i="7"/>
  <c r="AT20" i="7"/>
  <c r="AT22" i="7"/>
  <c r="AT24" i="7"/>
  <c r="AT26" i="7"/>
  <c r="AT28" i="7"/>
  <c r="L8" i="7"/>
  <c r="AT9" i="7"/>
  <c r="AT11" i="7"/>
  <c r="AT13" i="7"/>
  <c r="AT15" i="7"/>
  <c r="AT17" i="7"/>
  <c r="AT19" i="7"/>
  <c r="AT21" i="7"/>
  <c r="AT23" i="7"/>
  <c r="AT25" i="7"/>
  <c r="AZ28" i="6"/>
  <c r="AZ26" i="6"/>
  <c r="AZ24" i="6"/>
  <c r="AZ22" i="6"/>
  <c r="AZ20" i="6"/>
  <c r="AZ18" i="6"/>
  <c r="AZ16" i="6"/>
  <c r="AZ14" i="6"/>
  <c r="AZ12" i="6"/>
  <c r="AZ10" i="6"/>
  <c r="AZ27" i="6"/>
  <c r="AZ25" i="6"/>
  <c r="AZ23" i="6"/>
  <c r="AZ21" i="6"/>
  <c r="AZ19" i="6"/>
  <c r="AZ17" i="6"/>
  <c r="AZ15" i="6"/>
  <c r="AZ13" i="6"/>
  <c r="AZ11" i="6"/>
  <c r="AZ9" i="6"/>
  <c r="AT10" i="6"/>
  <c r="AT12" i="6"/>
  <c r="AT14" i="6"/>
  <c r="AT16" i="6"/>
  <c r="AT18" i="6"/>
  <c r="AT20" i="6"/>
  <c r="AT22" i="6"/>
  <c r="AT24" i="6"/>
  <c r="AT26" i="6"/>
  <c r="AT28" i="6"/>
  <c r="L8" i="6"/>
  <c r="AT9" i="6"/>
  <c r="AT11" i="6"/>
  <c r="AT13" i="6"/>
  <c r="AT15" i="6"/>
  <c r="AT17" i="6"/>
  <c r="AT19" i="6"/>
  <c r="AT21" i="6"/>
  <c r="AT23" i="6"/>
  <c r="AT25" i="6"/>
  <c r="AZ28" i="5"/>
  <c r="AZ26" i="5"/>
  <c r="AZ24" i="5"/>
  <c r="AZ22" i="5"/>
  <c r="AZ20" i="5"/>
  <c r="AZ18" i="5"/>
  <c r="AZ16" i="5"/>
  <c r="AZ14" i="5"/>
  <c r="AZ12" i="5"/>
  <c r="AZ10" i="5"/>
  <c r="AZ27" i="5"/>
  <c r="AZ25" i="5"/>
  <c r="AZ23" i="5"/>
  <c r="AZ21" i="5"/>
  <c r="AZ19" i="5"/>
  <c r="AZ17" i="5"/>
  <c r="AZ15" i="5"/>
  <c r="AZ13" i="5"/>
  <c r="AZ11" i="5"/>
  <c r="AZ9" i="5"/>
  <c r="L8" i="5"/>
  <c r="AT27" i="5"/>
  <c r="AT25" i="5"/>
  <c r="AT23" i="5"/>
  <c r="AT21" i="5"/>
  <c r="AT19" i="5"/>
  <c r="AT17" i="5"/>
  <c r="AT15" i="5"/>
  <c r="AT13" i="5"/>
  <c r="AT11" i="5"/>
  <c r="AT9" i="5"/>
  <c r="AT12" i="5"/>
  <c r="AT24" i="5"/>
  <c r="AT28" i="5"/>
  <c r="AT18" i="5"/>
  <c r="AT26" i="5"/>
  <c r="AT22" i="5"/>
  <c r="AT16" i="5"/>
  <c r="AT14" i="5"/>
  <c r="AT20" i="2"/>
  <c r="AT19" i="2"/>
  <c r="AT21" i="2"/>
  <c r="AT16" i="2"/>
  <c r="AT18" i="2"/>
  <c r="AT9" i="2"/>
  <c r="AT17" i="2"/>
  <c r="AT28" i="2"/>
  <c r="AT27" i="2"/>
  <c r="AT15" i="2"/>
  <c r="AT26" i="2"/>
  <c r="AT14" i="2"/>
  <c r="AT25" i="2"/>
  <c r="AT13" i="2"/>
  <c r="AT24" i="2"/>
  <c r="AT12" i="2"/>
  <c r="AT23" i="2"/>
  <c r="AT11" i="2"/>
  <c r="AT22" i="2"/>
  <c r="BC10" i="2"/>
  <c r="AZ21" i="2"/>
  <c r="AZ20" i="2"/>
  <c r="AZ16" i="2"/>
  <c r="AZ19" i="2"/>
  <c r="AZ11" i="2"/>
  <c r="AZ18" i="2"/>
  <c r="AZ9" i="2"/>
  <c r="BC9" i="2" s="1"/>
  <c r="AZ17" i="2"/>
  <c r="AZ28" i="2"/>
  <c r="AZ27" i="2"/>
  <c r="AZ15" i="2"/>
  <c r="AZ26" i="2"/>
  <c r="AZ14" i="2"/>
  <c r="AZ25" i="2"/>
  <c r="AZ13" i="2"/>
  <c r="AZ24" i="2"/>
  <c r="AZ12" i="2"/>
  <c r="AZ23" i="2"/>
  <c r="AZ22" i="2"/>
  <c r="L8" i="2"/>
  <c r="N8" i="12" l="1"/>
  <c r="M7" i="12"/>
  <c r="M8" i="11"/>
  <c r="L7" i="11"/>
  <c r="BC25" i="15"/>
  <c r="BC27" i="15"/>
  <c r="BC19" i="15"/>
  <c r="BC10" i="15"/>
  <c r="BC9" i="15"/>
  <c r="BC12" i="15"/>
  <c r="BC21" i="15"/>
  <c r="BC14" i="15"/>
  <c r="BC13" i="15"/>
  <c r="BC16" i="15"/>
  <c r="BC11" i="15"/>
  <c r="BC18" i="15"/>
  <c r="BC23" i="15"/>
  <c r="BC20" i="15"/>
  <c r="BC15" i="15"/>
  <c r="BC22" i="15"/>
  <c r="BC17" i="15"/>
  <c r="BC24" i="15"/>
  <c r="M8" i="15"/>
  <c r="L7" i="15"/>
  <c r="BC26" i="15"/>
  <c r="BC28" i="15"/>
  <c r="BC23" i="14"/>
  <c r="BC28" i="14"/>
  <c r="BC26" i="14"/>
  <c r="BC25" i="14"/>
  <c r="BC21" i="14"/>
  <c r="BC27" i="14"/>
  <c r="BC10" i="14"/>
  <c r="M8" i="14"/>
  <c r="L7" i="14"/>
  <c r="BC12" i="14"/>
  <c r="BC14" i="14"/>
  <c r="BC13" i="14"/>
  <c r="BC16" i="14"/>
  <c r="BC15" i="14"/>
  <c r="BC18" i="14"/>
  <c r="BC11" i="14"/>
  <c r="BC20" i="14"/>
  <c r="BC17" i="14"/>
  <c r="BC22" i="14"/>
  <c r="BC19" i="14"/>
  <c r="BC24" i="14"/>
  <c r="BC15" i="13"/>
  <c r="BC21" i="13"/>
  <c r="BC13" i="13"/>
  <c r="BC11" i="13"/>
  <c r="BC10" i="13"/>
  <c r="BC28" i="13"/>
  <c r="BC12" i="13"/>
  <c r="O8" i="13"/>
  <c r="N7" i="13"/>
  <c r="BC9" i="13"/>
  <c r="BC14" i="13"/>
  <c r="BC16" i="13"/>
  <c r="BC19" i="13"/>
  <c r="BC18" i="13"/>
  <c r="BC23" i="13"/>
  <c r="BC20" i="13"/>
  <c r="BC22" i="13"/>
  <c r="BC25" i="13"/>
  <c r="BC24" i="13"/>
  <c r="BC26" i="13"/>
  <c r="BC23" i="12"/>
  <c r="BC28" i="12"/>
  <c r="BC26" i="12"/>
  <c r="BC25" i="12"/>
  <c r="BC27" i="12"/>
  <c r="BC13" i="12"/>
  <c r="BC10" i="12"/>
  <c r="BC12" i="12"/>
  <c r="BC21" i="12"/>
  <c r="BC14" i="12"/>
  <c r="BC16" i="12"/>
  <c r="BC18" i="12"/>
  <c r="BC15" i="12"/>
  <c r="BC20" i="12"/>
  <c r="BC17" i="12"/>
  <c r="BC22" i="12"/>
  <c r="BC19" i="12"/>
  <c r="BC24" i="12"/>
  <c r="BC11" i="11"/>
  <c r="BC24" i="11"/>
  <c r="BC21" i="11"/>
  <c r="BC26" i="11"/>
  <c r="BC15" i="11"/>
  <c r="BC23" i="11"/>
  <c r="BC28" i="11"/>
  <c r="BC25" i="11"/>
  <c r="BC27" i="11"/>
  <c r="BC10" i="11"/>
  <c r="BC12" i="11"/>
  <c r="BC9" i="11"/>
  <c r="BC14" i="11"/>
  <c r="BC19" i="11"/>
  <c r="BC16" i="11"/>
  <c r="BC22" i="11"/>
  <c r="BC17" i="11"/>
  <c r="BC18" i="11"/>
  <c r="BC13" i="11"/>
  <c r="BC20" i="11"/>
  <c r="BC19" i="10"/>
  <c r="BC24" i="10"/>
  <c r="BC21" i="10"/>
  <c r="BC26" i="10"/>
  <c r="BC23" i="10"/>
  <c r="BC28" i="10"/>
  <c r="BC25" i="10"/>
  <c r="BC27" i="10"/>
  <c r="BC22" i="10"/>
  <c r="M8" i="10"/>
  <c r="L7" i="10"/>
  <c r="BC10" i="10"/>
  <c r="BC12" i="10"/>
  <c r="BC17" i="10"/>
  <c r="BC9" i="10"/>
  <c r="BC14" i="10"/>
  <c r="BC11" i="10"/>
  <c r="BC16" i="10"/>
  <c r="BC13" i="10"/>
  <c r="BC18" i="10"/>
  <c r="BC15" i="10"/>
  <c r="BC20" i="10"/>
  <c r="BC18" i="9"/>
  <c r="BC20" i="9"/>
  <c r="BC22" i="9"/>
  <c r="BC21" i="9"/>
  <c r="BC15" i="9"/>
  <c r="BC19" i="9"/>
  <c r="BC24" i="9"/>
  <c r="BC17" i="9"/>
  <c r="BC23" i="9"/>
  <c r="BC26" i="9"/>
  <c r="BC28" i="9"/>
  <c r="BC25" i="9"/>
  <c r="M8" i="9"/>
  <c r="L7" i="9"/>
  <c r="BC27" i="9"/>
  <c r="BC9" i="9"/>
  <c r="BC11" i="9"/>
  <c r="BC10" i="9"/>
  <c r="BC12" i="9"/>
  <c r="BC14" i="9"/>
  <c r="BC16" i="9"/>
  <c r="BC18" i="8"/>
  <c r="BC24" i="8"/>
  <c r="BC27" i="8"/>
  <c r="BC22" i="8"/>
  <c r="BC26" i="8"/>
  <c r="BC14" i="8"/>
  <c r="BC28" i="8"/>
  <c r="BC20" i="8"/>
  <c r="BC16" i="8"/>
  <c r="BC19" i="8"/>
  <c r="BC25" i="8"/>
  <c r="BC11" i="8"/>
  <c r="N8" i="8"/>
  <c r="M7" i="8"/>
  <c r="BC10" i="7"/>
  <c r="BC11" i="7"/>
  <c r="BC12" i="7"/>
  <c r="M8" i="7"/>
  <c r="L7" i="7"/>
  <c r="BC9" i="7"/>
  <c r="BC14" i="7"/>
  <c r="BC13" i="7"/>
  <c r="BC16" i="7"/>
  <c r="BC15" i="7"/>
  <c r="BC18" i="7"/>
  <c r="BC17" i="7"/>
  <c r="BC20" i="7"/>
  <c r="BC19" i="7"/>
  <c r="BC22" i="7"/>
  <c r="BC21" i="7"/>
  <c r="BC24" i="7"/>
  <c r="BC23" i="7"/>
  <c r="BC26" i="7"/>
  <c r="BC25" i="7"/>
  <c r="BC28" i="7"/>
  <c r="BC27" i="7"/>
  <c r="M8" i="6"/>
  <c r="L7" i="6"/>
  <c r="BC9" i="6"/>
  <c r="BC14" i="6"/>
  <c r="BC16" i="6"/>
  <c r="BC12" i="6"/>
  <c r="BC13" i="6"/>
  <c r="BC18" i="6"/>
  <c r="BC15" i="6"/>
  <c r="BC20" i="6"/>
  <c r="BC17" i="6"/>
  <c r="BC22" i="6"/>
  <c r="BC19" i="6"/>
  <c r="BC24" i="6"/>
  <c r="BC21" i="6"/>
  <c r="BC26" i="6"/>
  <c r="BC23" i="6"/>
  <c r="BC28" i="6"/>
  <c r="BC11" i="6"/>
  <c r="BC25" i="6"/>
  <c r="BC27" i="6"/>
  <c r="BC10" i="6"/>
  <c r="BC27" i="5"/>
  <c r="BC14" i="5"/>
  <c r="M8" i="5"/>
  <c r="L7" i="5"/>
  <c r="BC9" i="5"/>
  <c r="BC11" i="5"/>
  <c r="BC13" i="5"/>
  <c r="BC18" i="5"/>
  <c r="BC16" i="5"/>
  <c r="BC22" i="5"/>
  <c r="BC12" i="5"/>
  <c r="BC24" i="5"/>
  <c r="BC21" i="5"/>
  <c r="BC26" i="5"/>
  <c r="BC20" i="5"/>
  <c r="BC23" i="5"/>
  <c r="BC28" i="5"/>
  <c r="BC10" i="5"/>
  <c r="BC15" i="5"/>
  <c r="BC17" i="5"/>
  <c r="BC19" i="5"/>
  <c r="BC25" i="5"/>
  <c r="BC24" i="2"/>
  <c r="BC27" i="2"/>
  <c r="BC12" i="2"/>
  <c r="BC11" i="2"/>
  <c r="BC19" i="2"/>
  <c r="BC28" i="2"/>
  <c r="BC17" i="2"/>
  <c r="BC22" i="2"/>
  <c r="BC23" i="2"/>
  <c r="BC18" i="2"/>
  <c r="BC13" i="2"/>
  <c r="BC16" i="2"/>
  <c r="BC25" i="2"/>
  <c r="BC20" i="2"/>
  <c r="BC14" i="2"/>
  <c r="BC21" i="2"/>
  <c r="BC26" i="2"/>
  <c r="BC15" i="2"/>
  <c r="M8" i="2"/>
  <c r="L7" i="2"/>
  <c r="N7" i="12" l="1"/>
  <c r="O8" i="12"/>
  <c r="M7" i="11"/>
  <c r="N8" i="11"/>
  <c r="N8" i="15"/>
  <c r="M7" i="15"/>
  <c r="L28" i="14"/>
  <c r="L26" i="14"/>
  <c r="L24" i="14"/>
  <c r="L22" i="14"/>
  <c r="L20" i="14"/>
  <c r="L18" i="14"/>
  <c r="L16" i="14"/>
  <c r="L14" i="14"/>
  <c r="L12" i="14"/>
  <c r="L10" i="14"/>
  <c r="L27" i="14"/>
  <c r="L25" i="14"/>
  <c r="L23" i="14"/>
  <c r="L21" i="14"/>
  <c r="L19" i="14"/>
  <c r="L17" i="14"/>
  <c r="L15" i="14"/>
  <c r="L9" i="14"/>
  <c r="L13" i="14"/>
  <c r="L11" i="14"/>
  <c r="N8" i="14"/>
  <c r="M7" i="14"/>
  <c r="P8" i="13"/>
  <c r="O7" i="13"/>
  <c r="M7" i="10"/>
  <c r="N8" i="10"/>
  <c r="N8" i="9"/>
  <c r="M7" i="9"/>
  <c r="N7" i="8"/>
  <c r="O8" i="8"/>
  <c r="N8" i="7"/>
  <c r="M7" i="7"/>
  <c r="L28" i="6"/>
  <c r="L26" i="6"/>
  <c r="L24" i="6"/>
  <c r="L22" i="6"/>
  <c r="L20" i="6"/>
  <c r="L18" i="6"/>
  <c r="L16" i="6"/>
  <c r="L14" i="6"/>
  <c r="L12" i="6"/>
  <c r="L10" i="6"/>
  <c r="L27" i="6"/>
  <c r="L25" i="6"/>
  <c r="L23" i="6"/>
  <c r="L21" i="6"/>
  <c r="L19" i="6"/>
  <c r="L17" i="6"/>
  <c r="L15" i="6"/>
  <c r="L13" i="6"/>
  <c r="L11" i="6"/>
  <c r="L9" i="6"/>
  <c r="N8" i="6"/>
  <c r="M7" i="6"/>
  <c r="M7" i="5"/>
  <c r="N8" i="5"/>
  <c r="L28" i="5"/>
  <c r="L26" i="5"/>
  <c r="L24" i="5"/>
  <c r="L22" i="5"/>
  <c r="L20" i="5"/>
  <c r="L18" i="5"/>
  <c r="L16" i="5"/>
  <c r="L14" i="5"/>
  <c r="L12" i="5"/>
  <c r="L10" i="5"/>
  <c r="L15" i="5"/>
  <c r="L21" i="5"/>
  <c r="L19" i="5"/>
  <c r="L25" i="5"/>
  <c r="L27" i="5"/>
  <c r="L23" i="5"/>
  <c r="L13" i="5"/>
  <c r="L11" i="5"/>
  <c r="L17" i="5"/>
  <c r="L9" i="5"/>
  <c r="N8" i="2"/>
  <c r="M7" i="2"/>
  <c r="O7" i="12" l="1"/>
  <c r="P8" i="12"/>
  <c r="M24" i="11"/>
  <c r="M25" i="11"/>
  <c r="M27" i="11"/>
  <c r="M13" i="11"/>
  <c r="M23" i="11"/>
  <c r="M12" i="11"/>
  <c r="M15" i="11"/>
  <c r="M20" i="11"/>
  <c r="M21" i="11"/>
  <c r="M14" i="11"/>
  <c r="M19" i="11"/>
  <c r="M16" i="11"/>
  <c r="M18" i="11"/>
  <c r="M9" i="11"/>
  <c r="M22" i="11"/>
  <c r="M17" i="11"/>
  <c r="M28" i="11"/>
  <c r="M11" i="11"/>
  <c r="M26" i="11"/>
  <c r="M10" i="11"/>
  <c r="O8" i="11"/>
  <c r="N7" i="11"/>
  <c r="O8" i="15"/>
  <c r="N7" i="15"/>
  <c r="O8" i="14"/>
  <c r="N7" i="14"/>
  <c r="O28" i="13"/>
  <c r="O26" i="13"/>
  <c r="O24" i="13"/>
  <c r="O22" i="13"/>
  <c r="O20" i="13"/>
  <c r="O18" i="13"/>
  <c r="O16" i="13"/>
  <c r="O14" i="13"/>
  <c r="O12" i="13"/>
  <c r="O27" i="13"/>
  <c r="O17" i="13"/>
  <c r="O23" i="13"/>
  <c r="O11" i="13"/>
  <c r="O21" i="13"/>
  <c r="O9" i="13"/>
  <c r="O13" i="13"/>
  <c r="O25" i="13"/>
  <c r="O19" i="13"/>
  <c r="O10" i="13"/>
  <c r="O15" i="13"/>
  <c r="P7" i="13"/>
  <c r="Q8" i="13"/>
  <c r="O8" i="10"/>
  <c r="N7" i="10"/>
  <c r="O8" i="9"/>
  <c r="N7" i="9"/>
  <c r="P8" i="8"/>
  <c r="O7" i="8"/>
  <c r="N28" i="8"/>
  <c r="N26" i="8"/>
  <c r="N24" i="8"/>
  <c r="N22" i="8"/>
  <c r="N20" i="8"/>
  <c r="N27" i="8"/>
  <c r="N25" i="8"/>
  <c r="N21" i="8"/>
  <c r="N14" i="8"/>
  <c r="N17" i="8"/>
  <c r="N16" i="8"/>
  <c r="N13" i="8"/>
  <c r="N9" i="8"/>
  <c r="N12" i="8"/>
  <c r="N11" i="8"/>
  <c r="N10" i="8"/>
  <c r="N18" i="8"/>
  <c r="N15" i="8"/>
  <c r="N23" i="8"/>
  <c r="N19" i="8"/>
  <c r="O8" i="7"/>
  <c r="N7" i="7"/>
  <c r="O8" i="6"/>
  <c r="N7" i="6"/>
  <c r="O8" i="5"/>
  <c r="N7" i="5"/>
  <c r="O8" i="2"/>
  <c r="N7" i="2"/>
  <c r="Q8" i="12" l="1"/>
  <c r="P7" i="12"/>
  <c r="P8" i="11"/>
  <c r="O7" i="11"/>
  <c r="P8" i="15"/>
  <c r="O7" i="15"/>
  <c r="P8" i="14"/>
  <c r="O7" i="14"/>
  <c r="Q7" i="13"/>
  <c r="R8" i="13"/>
  <c r="P8" i="10"/>
  <c r="O7" i="10"/>
  <c r="O7" i="9"/>
  <c r="P8" i="9"/>
  <c r="Q8" i="8"/>
  <c r="P7" i="8"/>
  <c r="P8" i="7"/>
  <c r="O7" i="7"/>
  <c r="P8" i="6"/>
  <c r="O7" i="6"/>
  <c r="O7" i="5"/>
  <c r="P8" i="5"/>
  <c r="P8" i="2"/>
  <c r="O7" i="2"/>
  <c r="R8" i="12" l="1"/>
  <c r="Q7" i="12"/>
  <c r="P7" i="11"/>
  <c r="Q8" i="11"/>
  <c r="P7" i="15"/>
  <c r="Q8" i="15"/>
  <c r="Q8" i="14"/>
  <c r="P7" i="14"/>
  <c r="R7" i="13"/>
  <c r="S8" i="13"/>
  <c r="Q8" i="10"/>
  <c r="P7" i="10"/>
  <c r="P7" i="9"/>
  <c r="Q8" i="9"/>
  <c r="R8" i="8"/>
  <c r="Q7" i="8"/>
  <c r="Q8" i="7"/>
  <c r="P7" i="7"/>
  <c r="P7" i="6"/>
  <c r="Q8" i="6"/>
  <c r="Q8" i="5"/>
  <c r="P7" i="5"/>
  <c r="O18" i="2"/>
  <c r="O17" i="2"/>
  <c r="O13" i="2"/>
  <c r="O25" i="2"/>
  <c r="O20" i="2"/>
  <c r="O15" i="2"/>
  <c r="O27" i="2"/>
  <c r="O9" i="2"/>
  <c r="O10" i="2"/>
  <c r="O22" i="2"/>
  <c r="O12" i="2"/>
  <c r="O21" i="2"/>
  <c r="O14" i="2"/>
  <c r="O23" i="2"/>
  <c r="O26" i="2"/>
  <c r="O19" i="2"/>
  <c r="O24" i="2"/>
  <c r="O11" i="2"/>
  <c r="O28" i="2"/>
  <c r="O16" i="2"/>
  <c r="Q8" i="2"/>
  <c r="P7" i="2"/>
  <c r="R7" i="12" l="1"/>
  <c r="S8" i="12"/>
  <c r="Q28" i="12"/>
  <c r="Q26" i="12"/>
  <c r="Q10" i="12"/>
  <c r="Q15" i="12"/>
  <c r="Q9" i="12"/>
  <c r="Q24" i="12"/>
  <c r="Q19" i="12"/>
  <c r="Q27" i="12"/>
  <c r="Q22" i="12"/>
  <c r="Q20" i="12"/>
  <c r="Q18" i="12"/>
  <c r="Q21" i="12"/>
  <c r="Q14" i="12"/>
  <c r="Q13" i="12"/>
  <c r="Q25" i="12"/>
  <c r="Q11" i="12"/>
  <c r="Q23" i="12"/>
  <c r="Q16" i="12"/>
  <c r="Q17" i="12"/>
  <c r="Q12" i="12"/>
  <c r="R8" i="11"/>
  <c r="Q7" i="11"/>
  <c r="Q7" i="15"/>
  <c r="R8" i="15"/>
  <c r="Q7" i="14"/>
  <c r="R8" i="14"/>
  <c r="S7" i="13"/>
  <c r="T8" i="13"/>
  <c r="P9" i="10"/>
  <c r="P27" i="10"/>
  <c r="P25" i="10"/>
  <c r="P23" i="10"/>
  <c r="P21" i="10"/>
  <c r="P19" i="10"/>
  <c r="P17" i="10"/>
  <c r="P28" i="10"/>
  <c r="P18" i="10"/>
  <c r="P13" i="10"/>
  <c r="P24" i="10"/>
  <c r="P26" i="10"/>
  <c r="P11" i="10"/>
  <c r="P15" i="10"/>
  <c r="P16" i="10"/>
  <c r="P20" i="10"/>
  <c r="P12" i="10"/>
  <c r="P22" i="10"/>
  <c r="P10" i="10"/>
  <c r="P14" i="10"/>
  <c r="R8" i="10"/>
  <c r="Q7" i="10"/>
  <c r="R8" i="9"/>
  <c r="Q7" i="9"/>
  <c r="R7" i="8"/>
  <c r="S8" i="8"/>
  <c r="Q7" i="7"/>
  <c r="R8" i="7"/>
  <c r="P9" i="7"/>
  <c r="P27" i="7"/>
  <c r="P25" i="7"/>
  <c r="P23" i="7"/>
  <c r="P21" i="7"/>
  <c r="P19" i="7"/>
  <c r="P17" i="7"/>
  <c r="P15" i="7"/>
  <c r="P13" i="7"/>
  <c r="P11" i="7"/>
  <c r="P12" i="7"/>
  <c r="P18" i="7"/>
  <c r="P24" i="7"/>
  <c r="P14" i="7"/>
  <c r="P28" i="7"/>
  <c r="P10" i="7"/>
  <c r="P22" i="7"/>
  <c r="P20" i="7"/>
  <c r="P26" i="7"/>
  <c r="P16" i="7"/>
  <c r="R8" i="6"/>
  <c r="Q7" i="6"/>
  <c r="R8" i="5"/>
  <c r="Q7" i="5"/>
  <c r="R8" i="2"/>
  <c r="Q7" i="2"/>
  <c r="S7" i="12" l="1"/>
  <c r="T8" i="12"/>
  <c r="R7" i="11"/>
  <c r="S8" i="11"/>
  <c r="S8" i="15"/>
  <c r="R7" i="15"/>
  <c r="Q9" i="15"/>
  <c r="Q27" i="15"/>
  <c r="Q25" i="15"/>
  <c r="Q23" i="15"/>
  <c r="Q21" i="15"/>
  <c r="Q19" i="15"/>
  <c r="Q17" i="15"/>
  <c r="Q15" i="15"/>
  <c r="Q13" i="15"/>
  <c r="Q11" i="15"/>
  <c r="Q28" i="15"/>
  <c r="Q26" i="15"/>
  <c r="Q24" i="15"/>
  <c r="Q16" i="15"/>
  <c r="Q10" i="15"/>
  <c r="Q14" i="15"/>
  <c r="Q18" i="15"/>
  <c r="Q22" i="15"/>
  <c r="Q20" i="15"/>
  <c r="Q12" i="15"/>
  <c r="R7" i="14"/>
  <c r="S8" i="14"/>
  <c r="T7" i="13"/>
  <c r="U8" i="13"/>
  <c r="S8" i="10"/>
  <c r="R7" i="10"/>
  <c r="R7" i="9"/>
  <c r="S8" i="9"/>
  <c r="S7" i="8"/>
  <c r="T8" i="8"/>
  <c r="R7" i="7"/>
  <c r="S8" i="7"/>
  <c r="R7" i="6"/>
  <c r="S8" i="6"/>
  <c r="R7" i="5"/>
  <c r="S8" i="5"/>
  <c r="S8" i="2"/>
  <c r="R7" i="2"/>
  <c r="T7" i="12" l="1"/>
  <c r="U8" i="12"/>
  <c r="S7" i="11"/>
  <c r="T8" i="11"/>
  <c r="S7" i="15"/>
  <c r="T8" i="15"/>
  <c r="S7" i="14"/>
  <c r="T8" i="14"/>
  <c r="U7" i="13"/>
  <c r="V8" i="13"/>
  <c r="S7" i="10"/>
  <c r="T8" i="10"/>
  <c r="R27" i="9"/>
  <c r="R25" i="9"/>
  <c r="R23" i="9"/>
  <c r="R21" i="9"/>
  <c r="R19" i="9"/>
  <c r="R17" i="9"/>
  <c r="R15" i="9"/>
  <c r="R13" i="9"/>
  <c r="R11" i="9"/>
  <c r="R28" i="9"/>
  <c r="R26" i="9"/>
  <c r="R24" i="9"/>
  <c r="R22" i="9"/>
  <c r="R20" i="9"/>
  <c r="R18" i="9"/>
  <c r="R12" i="9"/>
  <c r="R14" i="9"/>
  <c r="R10" i="9"/>
  <c r="R16" i="9"/>
  <c r="R9" i="9"/>
  <c r="S7" i="9"/>
  <c r="T8" i="9"/>
  <c r="T7" i="8"/>
  <c r="U8" i="8"/>
  <c r="S7" i="7"/>
  <c r="T8" i="7"/>
  <c r="S7" i="6"/>
  <c r="T8" i="6"/>
  <c r="S7" i="5"/>
  <c r="T8" i="5"/>
  <c r="T8" i="2"/>
  <c r="S7" i="2"/>
  <c r="V8" i="12" l="1"/>
  <c r="U7" i="12"/>
  <c r="U8" i="11"/>
  <c r="T7" i="11"/>
  <c r="T7" i="15"/>
  <c r="U8" i="15"/>
  <c r="T7" i="14"/>
  <c r="U8" i="14"/>
  <c r="S27" i="14"/>
  <c r="S25" i="14"/>
  <c r="S23" i="14"/>
  <c r="S21" i="14"/>
  <c r="S19" i="14"/>
  <c r="S17" i="14"/>
  <c r="S15" i="14"/>
  <c r="S13" i="14"/>
  <c r="S28" i="14"/>
  <c r="S18" i="14"/>
  <c r="S24" i="14"/>
  <c r="S12" i="14"/>
  <c r="S26" i="14"/>
  <c r="S20" i="14"/>
  <c r="S16" i="14"/>
  <c r="S10" i="14"/>
  <c r="S9" i="14"/>
  <c r="S14" i="14"/>
  <c r="S22" i="14"/>
  <c r="S11" i="14"/>
  <c r="V7" i="13"/>
  <c r="W8" i="13"/>
  <c r="T7" i="10"/>
  <c r="U8" i="10"/>
  <c r="T7" i="9"/>
  <c r="U8" i="9"/>
  <c r="U7" i="8"/>
  <c r="V8" i="8"/>
  <c r="T7" i="7"/>
  <c r="U8" i="7"/>
  <c r="T7" i="6"/>
  <c r="U8" i="6"/>
  <c r="S9" i="6"/>
  <c r="S27" i="6"/>
  <c r="S25" i="6"/>
  <c r="S23" i="6"/>
  <c r="S21" i="6"/>
  <c r="S19" i="6"/>
  <c r="S17" i="6"/>
  <c r="S15" i="6"/>
  <c r="S13" i="6"/>
  <c r="S11" i="6"/>
  <c r="S28" i="6"/>
  <c r="S26" i="6"/>
  <c r="S24" i="6"/>
  <c r="S22" i="6"/>
  <c r="S20" i="6"/>
  <c r="S18" i="6"/>
  <c r="S16" i="6"/>
  <c r="S14" i="6"/>
  <c r="S12" i="6"/>
  <c r="S10" i="6"/>
  <c r="T7" i="5"/>
  <c r="U8" i="5"/>
  <c r="S27" i="5"/>
  <c r="S25" i="5"/>
  <c r="S19" i="5"/>
  <c r="S11" i="5"/>
  <c r="S26" i="5"/>
  <c r="S24" i="5"/>
  <c r="S17" i="5"/>
  <c r="S23" i="5"/>
  <c r="S20" i="5"/>
  <c r="S28" i="5"/>
  <c r="S10" i="5"/>
  <c r="S9" i="5"/>
  <c r="S12" i="5"/>
  <c r="S22" i="5"/>
  <c r="S15" i="5"/>
  <c r="S21" i="5"/>
  <c r="S13" i="5"/>
  <c r="S18" i="5"/>
  <c r="S16" i="5"/>
  <c r="S14" i="5"/>
  <c r="U8" i="2"/>
  <c r="T7" i="2"/>
  <c r="V7" i="12" l="1"/>
  <c r="W8" i="12"/>
  <c r="T26" i="11"/>
  <c r="T24" i="11"/>
  <c r="T20" i="11"/>
  <c r="T27" i="11"/>
  <c r="T14" i="11"/>
  <c r="T16" i="11"/>
  <c r="T23" i="11"/>
  <c r="T21" i="11"/>
  <c r="T17" i="11"/>
  <c r="T22" i="11"/>
  <c r="T18" i="11"/>
  <c r="T9" i="11"/>
  <c r="T10" i="11"/>
  <c r="T12" i="11"/>
  <c r="T15" i="11"/>
  <c r="T25" i="11"/>
  <c r="T19" i="11"/>
  <c r="T28" i="11"/>
  <c r="T13" i="11"/>
  <c r="T11" i="11"/>
  <c r="V8" i="11"/>
  <c r="U7" i="11"/>
  <c r="U7" i="15"/>
  <c r="V8" i="15"/>
  <c r="V8" i="14"/>
  <c r="U7" i="14"/>
  <c r="X8" i="13"/>
  <c r="W7" i="13"/>
  <c r="V26" i="13"/>
  <c r="V20" i="13"/>
  <c r="V28" i="13"/>
  <c r="V24" i="13"/>
  <c r="V22" i="13"/>
  <c r="V18" i="13"/>
  <c r="V16" i="13"/>
  <c r="V17" i="13"/>
  <c r="V9" i="13"/>
  <c r="V21" i="13"/>
  <c r="V12" i="13"/>
  <c r="V13" i="13"/>
  <c r="V25" i="13"/>
  <c r="V14" i="13"/>
  <c r="V10" i="13"/>
  <c r="V19" i="13"/>
  <c r="V11" i="13"/>
  <c r="V23" i="13"/>
  <c r="V15" i="13"/>
  <c r="V27" i="13"/>
  <c r="U7" i="10"/>
  <c r="V8" i="10"/>
  <c r="U7" i="9"/>
  <c r="V8" i="9"/>
  <c r="V7" i="8"/>
  <c r="W8" i="8"/>
  <c r="U27" i="8"/>
  <c r="U25" i="8"/>
  <c r="U23" i="8"/>
  <c r="U21" i="8"/>
  <c r="U19" i="8"/>
  <c r="U28" i="8"/>
  <c r="U26" i="8"/>
  <c r="U24" i="8"/>
  <c r="U22" i="8"/>
  <c r="U20" i="8"/>
  <c r="U11" i="8"/>
  <c r="U10" i="8"/>
  <c r="U9" i="8"/>
  <c r="U15" i="8"/>
  <c r="U12" i="8"/>
  <c r="U14" i="8"/>
  <c r="U18" i="8"/>
  <c r="U16" i="8"/>
  <c r="U13" i="8"/>
  <c r="U17" i="8"/>
  <c r="U7" i="7"/>
  <c r="V8" i="7"/>
  <c r="U7" i="6"/>
  <c r="V8" i="6"/>
  <c r="V8" i="5"/>
  <c r="U7" i="5"/>
  <c r="V8" i="2"/>
  <c r="U7" i="2"/>
  <c r="W7" i="12" l="1"/>
  <c r="X8" i="12"/>
  <c r="W8" i="11"/>
  <c r="V7" i="11"/>
  <c r="V7" i="15"/>
  <c r="W8" i="15"/>
  <c r="W8" i="14"/>
  <c r="V7" i="14"/>
  <c r="Y8" i="13"/>
  <c r="X7" i="13"/>
  <c r="V7" i="10"/>
  <c r="W8" i="10"/>
  <c r="W8" i="9"/>
  <c r="V7" i="9"/>
  <c r="W7" i="8"/>
  <c r="X8" i="8"/>
  <c r="V7" i="7"/>
  <c r="W8" i="7"/>
  <c r="V7" i="6"/>
  <c r="W8" i="6"/>
  <c r="V7" i="5"/>
  <c r="W8" i="5"/>
  <c r="W8" i="2"/>
  <c r="V7" i="2"/>
  <c r="Y8" i="12" l="1"/>
  <c r="X7" i="12"/>
  <c r="X8" i="11"/>
  <c r="W7" i="11"/>
  <c r="W7" i="15"/>
  <c r="X8" i="15"/>
  <c r="X8" i="14"/>
  <c r="W7" i="14"/>
  <c r="Z8" i="13"/>
  <c r="Y7" i="13"/>
  <c r="W7" i="10"/>
  <c r="X8" i="10"/>
  <c r="X8" i="9"/>
  <c r="W7" i="9"/>
  <c r="Y8" i="8"/>
  <c r="X7" i="8"/>
  <c r="W7" i="7"/>
  <c r="X8" i="7"/>
  <c r="W7" i="6"/>
  <c r="X8" i="6"/>
  <c r="X8" i="5"/>
  <c r="W7" i="5"/>
  <c r="V17" i="2"/>
  <c r="V12" i="2"/>
  <c r="V24" i="2"/>
  <c r="V21" i="2"/>
  <c r="V16" i="2"/>
  <c r="V11" i="2"/>
  <c r="V19" i="2"/>
  <c r="V26" i="2"/>
  <c r="V28" i="2"/>
  <c r="V14" i="2"/>
  <c r="V25" i="2"/>
  <c r="V9" i="2"/>
  <c r="V18" i="2"/>
  <c r="V20" i="2"/>
  <c r="V15" i="2"/>
  <c r="V22" i="2"/>
  <c r="V27" i="2"/>
  <c r="V10" i="2"/>
  <c r="V13" i="2"/>
  <c r="V23" i="2"/>
  <c r="X8" i="2"/>
  <c r="W7" i="2"/>
  <c r="X27" i="12" l="1"/>
  <c r="X25" i="12"/>
  <c r="X28" i="12"/>
  <c r="X23" i="12"/>
  <c r="X19" i="12"/>
  <c r="X22" i="12"/>
  <c r="X15" i="12"/>
  <c r="X17" i="12"/>
  <c r="X20" i="12"/>
  <c r="X9" i="12"/>
  <c r="X14" i="12"/>
  <c r="X18" i="12"/>
  <c r="X16" i="12"/>
  <c r="X26" i="12"/>
  <c r="X21" i="12"/>
  <c r="X13" i="12"/>
  <c r="X24" i="12"/>
  <c r="X11" i="12"/>
  <c r="X12" i="12"/>
  <c r="X10" i="12"/>
  <c r="Y7" i="12"/>
  <c r="Z8" i="12"/>
  <c r="X7" i="11"/>
  <c r="Y8" i="11"/>
  <c r="Y8" i="15"/>
  <c r="X7" i="15"/>
  <c r="Y8" i="14"/>
  <c r="X7" i="14"/>
  <c r="AA8" i="13"/>
  <c r="Z7" i="13"/>
  <c r="Y8" i="10"/>
  <c r="X7" i="10"/>
  <c r="W28" i="10"/>
  <c r="W26" i="10"/>
  <c r="W24" i="10"/>
  <c r="W22" i="10"/>
  <c r="W20" i="10"/>
  <c r="W18" i="10"/>
  <c r="W16" i="10"/>
  <c r="W14" i="10"/>
  <c r="W12" i="10"/>
  <c r="W10" i="10"/>
  <c r="W9" i="10"/>
  <c r="W27" i="10"/>
  <c r="W25" i="10"/>
  <c r="W23" i="10"/>
  <c r="W21" i="10"/>
  <c r="W19" i="10"/>
  <c r="W17" i="10"/>
  <c r="W15" i="10"/>
  <c r="W13" i="10"/>
  <c r="W11" i="10"/>
  <c r="Y8" i="9"/>
  <c r="X7" i="9"/>
  <c r="Y7" i="8"/>
  <c r="Z8" i="8"/>
  <c r="Y8" i="7"/>
  <c r="X7" i="7"/>
  <c r="W28" i="7"/>
  <c r="W26" i="7"/>
  <c r="W24" i="7"/>
  <c r="W22" i="7"/>
  <c r="W20" i="7"/>
  <c r="W18" i="7"/>
  <c r="W16" i="7"/>
  <c r="W14" i="7"/>
  <c r="W12" i="7"/>
  <c r="W10" i="7"/>
  <c r="W9" i="7"/>
  <c r="W11" i="7"/>
  <c r="W27" i="7"/>
  <c r="W25" i="7"/>
  <c r="W23" i="7"/>
  <c r="W21" i="7"/>
  <c r="W19" i="7"/>
  <c r="W17" i="7"/>
  <c r="W15" i="7"/>
  <c r="W13" i="7"/>
  <c r="Y8" i="6"/>
  <c r="X7" i="6"/>
  <c r="Y8" i="5"/>
  <c r="X7" i="5"/>
  <c r="Y8" i="2"/>
  <c r="X7" i="2"/>
  <c r="Z7" i="12" l="1"/>
  <c r="AA8" i="12"/>
  <c r="Z8" i="11"/>
  <c r="Y7" i="11"/>
  <c r="X28" i="15"/>
  <c r="X26" i="15"/>
  <c r="X24" i="15"/>
  <c r="X22" i="15"/>
  <c r="X20" i="15"/>
  <c r="X18" i="15"/>
  <c r="X16" i="15"/>
  <c r="X14" i="15"/>
  <c r="X12" i="15"/>
  <c r="X10" i="15"/>
  <c r="X27" i="15"/>
  <c r="X25" i="15"/>
  <c r="X23" i="15"/>
  <c r="X21" i="15"/>
  <c r="X19" i="15"/>
  <c r="X17" i="15"/>
  <c r="X15" i="15"/>
  <c r="X13" i="15"/>
  <c r="X11" i="15"/>
  <c r="X9" i="15"/>
  <c r="Z8" i="15"/>
  <c r="Y7" i="15"/>
  <c r="Y7" i="14"/>
  <c r="Z8" i="14"/>
  <c r="AA7" i="13"/>
  <c r="AB8" i="13"/>
  <c r="Y7" i="10"/>
  <c r="Z8" i="10"/>
  <c r="Z8" i="9"/>
  <c r="Y7" i="9"/>
  <c r="AA8" i="8"/>
  <c r="Z7" i="8"/>
  <c r="Z8" i="7"/>
  <c r="Y7" i="7"/>
  <c r="Z8" i="6"/>
  <c r="Y7" i="6"/>
  <c r="Y7" i="5"/>
  <c r="Z8" i="5"/>
  <c r="Z8" i="2"/>
  <c r="Y7" i="2"/>
  <c r="AB8" i="12" l="1"/>
  <c r="AA7" i="12"/>
  <c r="AA8" i="11"/>
  <c r="Z7" i="11"/>
  <c r="AA8" i="15"/>
  <c r="Z7" i="15"/>
  <c r="AA8" i="14"/>
  <c r="Z7" i="14"/>
  <c r="AB7" i="13"/>
  <c r="AC8" i="13"/>
  <c r="AA8" i="10"/>
  <c r="Z7" i="10"/>
  <c r="Y28" i="9"/>
  <c r="Y26" i="9"/>
  <c r="Y24" i="9"/>
  <c r="Y22" i="9"/>
  <c r="Y20" i="9"/>
  <c r="Y18" i="9"/>
  <c r="Y16" i="9"/>
  <c r="Y9" i="9"/>
  <c r="Y10" i="9"/>
  <c r="Y21" i="9"/>
  <c r="Y11" i="9"/>
  <c r="Y14" i="9"/>
  <c r="Y15" i="9"/>
  <c r="Y25" i="9"/>
  <c r="Y23" i="9"/>
  <c r="Y17" i="9"/>
  <c r="Y13" i="9"/>
  <c r="Y19" i="9"/>
  <c r="Y12" i="9"/>
  <c r="Y27" i="9"/>
  <c r="AA8" i="9"/>
  <c r="Z7" i="9"/>
  <c r="AB8" i="8"/>
  <c r="AA7" i="8"/>
  <c r="AA8" i="7"/>
  <c r="Z7" i="7"/>
  <c r="AA8" i="6"/>
  <c r="Z7" i="6"/>
  <c r="Z7" i="5"/>
  <c r="AA8" i="5"/>
  <c r="AA8" i="2"/>
  <c r="Z7" i="2"/>
  <c r="AB7" i="12" l="1"/>
  <c r="AC8" i="12"/>
  <c r="AB8" i="11"/>
  <c r="AA7" i="11"/>
  <c r="AB8" i="15"/>
  <c r="AA7" i="15"/>
  <c r="AB8" i="14"/>
  <c r="AA7" i="14"/>
  <c r="Z28" i="14"/>
  <c r="Z26" i="14"/>
  <c r="Z24" i="14"/>
  <c r="Z22" i="14"/>
  <c r="Z20" i="14"/>
  <c r="Z27" i="14"/>
  <c r="Z25" i="14"/>
  <c r="Z18" i="14"/>
  <c r="Z9" i="14"/>
  <c r="Z15" i="14"/>
  <c r="Z14" i="14"/>
  <c r="Z17" i="14"/>
  <c r="Z16" i="14"/>
  <c r="Z11" i="14"/>
  <c r="Z10" i="14"/>
  <c r="Z19" i="14"/>
  <c r="Z21" i="14"/>
  <c r="Z13" i="14"/>
  <c r="Z12" i="14"/>
  <c r="Z23" i="14"/>
  <c r="AC7" i="13"/>
  <c r="AD8" i="13"/>
  <c r="AB8" i="10"/>
  <c r="AA7" i="10"/>
  <c r="AB8" i="9"/>
  <c r="AA7" i="9"/>
  <c r="AC8" i="8"/>
  <c r="AB7" i="8"/>
  <c r="AB8" i="7"/>
  <c r="AA7" i="7"/>
  <c r="AB8" i="6"/>
  <c r="AA7" i="6"/>
  <c r="Z10" i="6"/>
  <c r="Z28" i="6"/>
  <c r="Z26" i="6"/>
  <c r="Z24" i="6"/>
  <c r="Z22" i="6"/>
  <c r="Z20" i="6"/>
  <c r="Z18" i="6"/>
  <c r="Z16" i="6"/>
  <c r="Z14" i="6"/>
  <c r="Z12" i="6"/>
  <c r="Z27" i="6"/>
  <c r="Z25" i="6"/>
  <c r="Z23" i="6"/>
  <c r="Z21" i="6"/>
  <c r="Z19" i="6"/>
  <c r="Z17" i="6"/>
  <c r="Z15" i="6"/>
  <c r="Z13" i="6"/>
  <c r="Z11" i="6"/>
  <c r="Z9" i="6"/>
  <c r="AA7" i="5"/>
  <c r="AB8" i="5"/>
  <c r="Z28" i="5"/>
  <c r="Z26" i="5"/>
  <c r="Z24" i="5"/>
  <c r="Z23" i="5"/>
  <c r="Z12" i="5"/>
  <c r="Z20" i="5"/>
  <c r="Z15" i="5"/>
  <c r="Z27" i="5"/>
  <c r="Z18" i="5"/>
  <c r="Z13" i="5"/>
  <c r="Z16" i="5"/>
  <c r="Z25" i="5"/>
  <c r="Z21" i="5"/>
  <c r="Z17" i="5"/>
  <c r="Z22" i="5"/>
  <c r="Z14" i="5"/>
  <c r="Z11" i="5"/>
  <c r="Z10" i="5"/>
  <c r="Z9" i="5"/>
  <c r="Z19" i="5"/>
  <c r="AB8" i="2"/>
  <c r="AA7" i="2"/>
  <c r="AC7" i="12" l="1"/>
  <c r="AD8" i="12"/>
  <c r="AA19" i="11"/>
  <c r="AA9" i="11"/>
  <c r="AA15" i="11"/>
  <c r="AA24" i="11"/>
  <c r="AA16" i="11"/>
  <c r="AA28" i="11"/>
  <c r="AA22" i="11"/>
  <c r="AA11" i="11"/>
  <c r="AA12" i="11"/>
  <c r="AA25" i="11"/>
  <c r="AA26" i="11"/>
  <c r="AA10" i="11"/>
  <c r="AA20" i="11"/>
  <c r="AA17" i="11"/>
  <c r="AA13" i="11"/>
  <c r="AA27" i="11"/>
  <c r="AA18" i="11"/>
  <c r="AA14" i="11"/>
  <c r="AA23" i="11"/>
  <c r="AA21" i="11"/>
  <c r="AC8" i="11"/>
  <c r="AB7" i="11"/>
  <c r="AB7" i="15"/>
  <c r="AC8" i="15"/>
  <c r="AB7" i="14"/>
  <c r="AC8" i="14"/>
  <c r="AC9" i="13"/>
  <c r="AC27" i="13"/>
  <c r="AC25" i="13"/>
  <c r="AC23" i="13"/>
  <c r="AC21" i="13"/>
  <c r="AC19" i="13"/>
  <c r="AC17" i="13"/>
  <c r="AC15" i="13"/>
  <c r="AC13" i="13"/>
  <c r="AC11" i="13"/>
  <c r="AC28" i="13"/>
  <c r="AC24" i="13"/>
  <c r="AC10" i="13"/>
  <c r="AC12" i="13"/>
  <c r="AC14" i="13"/>
  <c r="AC26" i="13"/>
  <c r="AC22" i="13"/>
  <c r="AC20" i="13"/>
  <c r="AC16" i="13"/>
  <c r="AC18" i="13"/>
  <c r="AD7" i="13"/>
  <c r="AE8" i="13"/>
  <c r="AC8" i="10"/>
  <c r="AB7" i="10"/>
  <c r="AC8" i="9"/>
  <c r="AB7" i="9"/>
  <c r="AB27" i="8"/>
  <c r="AB25" i="8"/>
  <c r="AB23" i="8"/>
  <c r="AB19" i="8"/>
  <c r="AB14" i="8"/>
  <c r="AB13" i="8"/>
  <c r="AB22" i="8"/>
  <c r="AB17" i="8"/>
  <c r="AB16" i="8"/>
  <c r="AB24" i="8"/>
  <c r="AB28" i="8"/>
  <c r="AB12" i="8"/>
  <c r="AB20" i="8"/>
  <c r="AB10" i="8"/>
  <c r="AB26" i="8"/>
  <c r="AB21" i="8"/>
  <c r="AB11" i="8"/>
  <c r="AB18" i="8"/>
  <c r="AB9" i="8"/>
  <c r="AB15" i="8"/>
  <c r="AC7" i="8"/>
  <c r="AD8" i="8"/>
  <c r="AB7" i="7"/>
  <c r="AC8" i="7"/>
  <c r="AC8" i="6"/>
  <c r="AB7" i="6"/>
  <c r="AC8" i="5"/>
  <c r="AB7" i="5"/>
  <c r="AC8" i="2"/>
  <c r="AB7" i="2"/>
  <c r="AD7" i="12" l="1"/>
  <c r="AE8" i="12"/>
  <c r="AD8" i="11"/>
  <c r="AC7" i="11"/>
  <c r="AC7" i="15"/>
  <c r="AD8" i="15"/>
  <c r="AC7" i="14"/>
  <c r="AD8" i="14"/>
  <c r="AE7" i="13"/>
  <c r="AF8" i="13"/>
  <c r="AD8" i="10"/>
  <c r="AC7" i="10"/>
  <c r="AC7" i="9"/>
  <c r="AD8" i="9"/>
  <c r="AE8" i="8"/>
  <c r="AD7" i="8"/>
  <c r="AD8" i="7"/>
  <c r="AC7" i="7"/>
  <c r="AD8" i="6"/>
  <c r="AC7" i="6"/>
  <c r="AD8" i="5"/>
  <c r="AC7" i="5"/>
  <c r="AD8" i="2"/>
  <c r="AC7" i="2"/>
  <c r="AE7" i="12" l="1"/>
  <c r="AF8" i="12"/>
  <c r="AD7" i="11"/>
  <c r="AE8" i="11"/>
  <c r="AE8" i="15"/>
  <c r="AD7" i="15"/>
  <c r="AE8" i="14"/>
  <c r="AD7" i="14"/>
  <c r="AF7" i="13"/>
  <c r="AG8" i="13"/>
  <c r="AE8" i="10"/>
  <c r="AD7" i="10"/>
  <c r="AD7" i="9"/>
  <c r="AE8" i="9"/>
  <c r="AF8" i="8"/>
  <c r="AE7" i="8"/>
  <c r="AD7" i="7"/>
  <c r="AE8" i="7"/>
  <c r="AD7" i="6"/>
  <c r="AE8" i="6"/>
  <c r="AD7" i="5"/>
  <c r="AE8" i="5"/>
  <c r="AC16" i="2"/>
  <c r="AC28" i="2"/>
  <c r="AC11" i="2"/>
  <c r="AC23" i="2"/>
  <c r="AC18" i="2"/>
  <c r="AC20" i="2"/>
  <c r="AC15" i="2"/>
  <c r="AC13" i="2"/>
  <c r="AC25" i="2"/>
  <c r="AC27" i="2"/>
  <c r="AC10" i="2"/>
  <c r="AC12" i="2"/>
  <c r="AC21" i="2"/>
  <c r="AC14" i="2"/>
  <c r="AC22" i="2"/>
  <c r="AC26" i="2"/>
  <c r="AC19" i="2"/>
  <c r="AC24" i="2"/>
  <c r="AC9" i="2"/>
  <c r="AC17" i="2"/>
  <c r="AE8" i="2"/>
  <c r="AD7" i="2"/>
  <c r="AF7" i="12" l="1"/>
  <c r="AG8" i="12"/>
  <c r="AE28" i="12"/>
  <c r="AE19" i="12"/>
  <c r="AE17" i="12"/>
  <c r="AE15" i="12"/>
  <c r="AE26" i="12"/>
  <c r="AE14" i="12"/>
  <c r="AE18" i="12"/>
  <c r="AE9" i="12"/>
  <c r="AE23" i="12"/>
  <c r="AE21" i="12"/>
  <c r="AE11" i="12"/>
  <c r="AE24" i="12"/>
  <c r="AE13" i="12"/>
  <c r="AE27" i="12"/>
  <c r="AE20" i="12"/>
  <c r="AE12" i="12"/>
  <c r="AE10" i="12"/>
  <c r="AE16" i="12"/>
  <c r="AE25" i="12"/>
  <c r="AE22" i="12"/>
  <c r="AF8" i="11"/>
  <c r="AE7" i="11"/>
  <c r="AE7" i="15"/>
  <c r="AF8" i="15"/>
  <c r="AE7" i="14"/>
  <c r="AF8" i="14"/>
  <c r="AG7" i="13"/>
  <c r="AH8" i="13"/>
  <c r="AE7" i="10"/>
  <c r="AF8" i="10"/>
  <c r="AD27" i="10"/>
  <c r="AD25" i="10"/>
  <c r="AD23" i="10"/>
  <c r="AD21" i="10"/>
  <c r="AD19" i="10"/>
  <c r="AD17" i="10"/>
  <c r="AD15" i="10"/>
  <c r="AD13" i="10"/>
  <c r="AD11" i="10"/>
  <c r="AD28" i="10"/>
  <c r="AD26" i="10"/>
  <c r="AD24" i="10"/>
  <c r="AD22" i="10"/>
  <c r="AD20" i="10"/>
  <c r="AD18" i="10"/>
  <c r="AD16" i="10"/>
  <c r="AD14" i="10"/>
  <c r="AD12" i="10"/>
  <c r="AD10" i="10"/>
  <c r="AD9" i="10"/>
  <c r="AE7" i="9"/>
  <c r="AF8" i="9"/>
  <c r="AF7" i="8"/>
  <c r="AG8" i="8"/>
  <c r="AE7" i="7"/>
  <c r="AF8" i="7"/>
  <c r="AD9" i="7"/>
  <c r="AD27" i="7"/>
  <c r="AD25" i="7"/>
  <c r="AD23" i="7"/>
  <c r="AD21" i="7"/>
  <c r="AD19" i="7"/>
  <c r="AD17" i="7"/>
  <c r="AD15" i="7"/>
  <c r="AD13" i="7"/>
  <c r="AD11" i="7"/>
  <c r="AD28" i="7"/>
  <c r="AD26" i="7"/>
  <c r="AD24" i="7"/>
  <c r="AD22" i="7"/>
  <c r="AD20" i="7"/>
  <c r="AD18" i="7"/>
  <c r="AD16" i="7"/>
  <c r="AD14" i="7"/>
  <c r="AD12" i="7"/>
  <c r="AD10" i="7"/>
  <c r="AE7" i="6"/>
  <c r="AF8" i="6"/>
  <c r="AE7" i="5"/>
  <c r="AF8" i="5"/>
  <c r="AF8" i="2"/>
  <c r="AE7" i="2"/>
  <c r="AH8" i="12" l="1"/>
  <c r="AG7" i="12"/>
  <c r="AF7" i="11"/>
  <c r="AG8" i="11"/>
  <c r="AF7" i="15"/>
  <c r="AG8" i="15"/>
  <c r="AE9" i="15"/>
  <c r="AE27" i="15"/>
  <c r="AE25" i="15"/>
  <c r="AE23" i="15"/>
  <c r="AE21" i="15"/>
  <c r="AE19" i="15"/>
  <c r="AE17" i="15"/>
  <c r="AE15" i="15"/>
  <c r="AE13" i="15"/>
  <c r="AE11" i="15"/>
  <c r="AE28" i="15"/>
  <c r="AE26" i="15"/>
  <c r="AE24" i="15"/>
  <c r="AE22" i="15"/>
  <c r="AE20" i="15"/>
  <c r="AE18" i="15"/>
  <c r="AE16" i="15"/>
  <c r="AE14" i="15"/>
  <c r="AE10" i="15"/>
  <c r="AE12" i="15"/>
  <c r="AF7" i="14"/>
  <c r="AG8" i="14"/>
  <c r="AH7" i="13"/>
  <c r="AI8" i="13"/>
  <c r="AF7" i="10"/>
  <c r="AG8" i="10"/>
  <c r="AF7" i="9"/>
  <c r="AG8" i="9"/>
  <c r="AG7" i="8"/>
  <c r="AH8" i="8"/>
  <c r="AF7" i="7"/>
  <c r="AG8" i="7"/>
  <c r="AF7" i="6"/>
  <c r="AG8" i="6"/>
  <c r="AF7" i="5"/>
  <c r="AG8" i="5"/>
  <c r="AG8" i="2"/>
  <c r="AF7" i="2"/>
  <c r="AI8" i="12" l="1"/>
  <c r="AH7" i="12"/>
  <c r="AG7" i="11"/>
  <c r="AH8" i="11"/>
  <c r="AG7" i="15"/>
  <c r="AH8" i="15"/>
  <c r="AG7" i="14"/>
  <c r="AH8" i="14"/>
  <c r="AJ8" i="13"/>
  <c r="AI7" i="13"/>
  <c r="AG7" i="10"/>
  <c r="AH8" i="10"/>
  <c r="AG7" i="9"/>
  <c r="AH8" i="9"/>
  <c r="AF27" i="9"/>
  <c r="AF25" i="9"/>
  <c r="AF23" i="9"/>
  <c r="AF21" i="9"/>
  <c r="AF19" i="9"/>
  <c r="AF17" i="9"/>
  <c r="AF15" i="9"/>
  <c r="AF13" i="9"/>
  <c r="AF28" i="9"/>
  <c r="AF26" i="9"/>
  <c r="AF24" i="9"/>
  <c r="AF22" i="9"/>
  <c r="AF20" i="9"/>
  <c r="AF12" i="9"/>
  <c r="AF9" i="9"/>
  <c r="AF18" i="9"/>
  <c r="AF10" i="9"/>
  <c r="AF14" i="9"/>
  <c r="AF16" i="9"/>
  <c r="AF11" i="9"/>
  <c r="AH7" i="8"/>
  <c r="AI8" i="8"/>
  <c r="AG7" i="7"/>
  <c r="AH8" i="7"/>
  <c r="AG7" i="6"/>
  <c r="AH8" i="6"/>
  <c r="AH8" i="5"/>
  <c r="AG7" i="5"/>
  <c r="AH8" i="2"/>
  <c r="AG7" i="2"/>
  <c r="AJ8" i="12" l="1"/>
  <c r="AI7" i="12"/>
  <c r="AH7" i="11"/>
  <c r="AI8" i="11"/>
  <c r="AH7" i="15"/>
  <c r="AI8" i="15"/>
  <c r="AH7" i="14"/>
  <c r="AI8" i="14"/>
  <c r="AG27" i="14"/>
  <c r="AG25" i="14"/>
  <c r="AG23" i="14"/>
  <c r="AG21" i="14"/>
  <c r="AG19" i="14"/>
  <c r="AG17" i="14"/>
  <c r="AG15" i="14"/>
  <c r="AG13" i="14"/>
  <c r="AG28" i="14"/>
  <c r="AG26" i="14"/>
  <c r="AG24" i="14"/>
  <c r="AG22" i="14"/>
  <c r="AG20" i="14"/>
  <c r="AG18" i="14"/>
  <c r="AG16" i="14"/>
  <c r="AG14" i="14"/>
  <c r="AG12" i="14"/>
  <c r="AG9" i="14"/>
  <c r="AG11" i="14"/>
  <c r="AG10" i="14"/>
  <c r="AK8" i="13"/>
  <c r="AJ7" i="13"/>
  <c r="AH7" i="10"/>
  <c r="AI8" i="10"/>
  <c r="AI8" i="9"/>
  <c r="AH7" i="9"/>
  <c r="AJ8" i="8"/>
  <c r="AI7" i="8"/>
  <c r="AH7" i="7"/>
  <c r="AI8" i="7"/>
  <c r="AH7" i="6"/>
  <c r="AI8" i="6"/>
  <c r="AG27" i="6"/>
  <c r="AG25" i="6"/>
  <c r="AG23" i="6"/>
  <c r="AG21" i="6"/>
  <c r="AG19" i="6"/>
  <c r="AG17" i="6"/>
  <c r="AG15" i="6"/>
  <c r="AG13" i="6"/>
  <c r="AG11" i="6"/>
  <c r="AG14" i="6"/>
  <c r="AG12" i="6"/>
  <c r="AG28" i="6"/>
  <c r="AG26" i="6"/>
  <c r="AG24" i="6"/>
  <c r="AG22" i="6"/>
  <c r="AG20" i="6"/>
  <c r="AG18" i="6"/>
  <c r="AG16" i="6"/>
  <c r="AG10" i="6"/>
  <c r="AG9" i="6"/>
  <c r="AG27" i="5"/>
  <c r="AG16" i="5"/>
  <c r="AG14" i="5"/>
  <c r="AG28" i="5"/>
  <c r="AG21" i="5"/>
  <c r="AG24" i="5"/>
  <c r="AG12" i="5"/>
  <c r="AG26" i="5"/>
  <c r="AG25" i="5"/>
  <c r="AG22" i="5"/>
  <c r="AG20" i="5"/>
  <c r="AG18" i="5"/>
  <c r="AG23" i="5"/>
  <c r="AG11" i="5"/>
  <c r="AG10" i="5"/>
  <c r="AG9" i="5"/>
  <c r="AG13" i="5"/>
  <c r="AG19" i="5"/>
  <c r="AG17" i="5"/>
  <c r="AG15" i="5"/>
  <c r="AH7" i="5"/>
  <c r="AI8" i="5"/>
  <c r="AI8" i="2"/>
  <c r="AH7" i="2"/>
  <c r="AK8" i="12" l="1"/>
  <c r="AJ7" i="12"/>
  <c r="AI7" i="11"/>
  <c r="AJ8" i="11"/>
  <c r="AH13" i="11"/>
  <c r="AH24" i="11"/>
  <c r="AH22" i="11"/>
  <c r="AH17" i="11"/>
  <c r="AH19" i="11"/>
  <c r="AH28" i="11"/>
  <c r="AH23" i="11"/>
  <c r="AH10" i="11"/>
  <c r="AH18" i="11"/>
  <c r="AH11" i="11"/>
  <c r="AH12" i="11"/>
  <c r="AH14" i="11"/>
  <c r="AH27" i="11"/>
  <c r="AH26" i="11"/>
  <c r="AH21" i="11"/>
  <c r="AH20" i="11"/>
  <c r="AH9" i="11"/>
  <c r="AH25" i="11"/>
  <c r="AH16" i="11"/>
  <c r="AH15" i="11"/>
  <c r="AI7" i="15"/>
  <c r="AJ8" i="15"/>
  <c r="AJ8" i="14"/>
  <c r="AI7" i="14"/>
  <c r="AL8" i="13"/>
  <c r="AK7" i="13"/>
  <c r="AJ28" i="13"/>
  <c r="AJ26" i="13"/>
  <c r="AJ24" i="13"/>
  <c r="AJ22" i="13"/>
  <c r="AJ20" i="13"/>
  <c r="AJ18" i="13"/>
  <c r="AJ16" i="13"/>
  <c r="AJ14" i="13"/>
  <c r="AJ12" i="13"/>
  <c r="AJ10" i="13"/>
  <c r="AJ27" i="13"/>
  <c r="AJ25" i="13"/>
  <c r="AJ9" i="13"/>
  <c r="AJ21" i="13"/>
  <c r="AJ17" i="13"/>
  <c r="AJ15" i="13"/>
  <c r="AJ19" i="13"/>
  <c r="AJ13" i="13"/>
  <c r="AJ23" i="13"/>
  <c r="AJ11" i="13"/>
  <c r="AI7" i="10"/>
  <c r="AJ8" i="10"/>
  <c r="AJ8" i="9"/>
  <c r="AI7" i="9"/>
  <c r="AI18" i="8"/>
  <c r="AI28" i="8"/>
  <c r="AI26" i="8"/>
  <c r="AI24" i="8"/>
  <c r="AI22" i="8"/>
  <c r="AI20" i="8"/>
  <c r="AI16" i="8"/>
  <c r="AI27" i="8"/>
  <c r="AI13" i="8"/>
  <c r="AI10" i="8"/>
  <c r="AI21" i="8"/>
  <c r="AI9" i="8"/>
  <c r="AI23" i="8"/>
  <c r="AI12" i="8"/>
  <c r="AI25" i="8"/>
  <c r="AI14" i="8"/>
  <c r="AI15" i="8"/>
  <c r="AI17" i="8"/>
  <c r="AI11" i="8"/>
  <c r="AI19" i="8"/>
  <c r="AK8" i="8"/>
  <c r="AJ7" i="8"/>
  <c r="AI7" i="7"/>
  <c r="AJ8" i="7"/>
  <c r="AI7" i="6"/>
  <c r="AJ8" i="6"/>
  <c r="AJ8" i="5"/>
  <c r="AI7" i="5"/>
  <c r="AJ8" i="2"/>
  <c r="AI7" i="2"/>
  <c r="AL8" i="12" l="1"/>
  <c r="AK7" i="12"/>
  <c r="AJ7" i="11"/>
  <c r="AK8" i="11"/>
  <c r="AK8" i="15"/>
  <c r="AJ7" i="15"/>
  <c r="AK8" i="14"/>
  <c r="AJ7" i="14"/>
  <c r="AM8" i="13"/>
  <c r="AL7" i="13"/>
  <c r="AK8" i="10"/>
  <c r="AJ7" i="10"/>
  <c r="AK8" i="9"/>
  <c r="AJ7" i="9"/>
  <c r="AL8" i="8"/>
  <c r="AK7" i="8"/>
  <c r="AK8" i="7"/>
  <c r="AJ7" i="7"/>
  <c r="AK8" i="6"/>
  <c r="AJ7" i="6"/>
  <c r="AK8" i="5"/>
  <c r="AJ7" i="5"/>
  <c r="AK8" i="2"/>
  <c r="AJ7" i="2"/>
  <c r="AM8" i="12" l="1"/>
  <c r="AL7" i="12"/>
  <c r="AK7" i="11"/>
  <c r="AL8" i="11"/>
  <c r="AL8" i="15"/>
  <c r="AK7" i="15"/>
  <c r="AL8" i="14"/>
  <c r="AK7" i="14"/>
  <c r="AM7" i="13"/>
  <c r="AN8" i="13"/>
  <c r="AK7" i="10"/>
  <c r="AL8" i="10"/>
  <c r="AL8" i="9"/>
  <c r="AK7" i="9"/>
  <c r="AM8" i="8"/>
  <c r="AL7" i="8"/>
  <c r="AL8" i="7"/>
  <c r="AK7" i="7"/>
  <c r="AL8" i="6"/>
  <c r="AK7" i="6"/>
  <c r="AK7" i="5"/>
  <c r="AL8" i="5"/>
  <c r="AJ15" i="2"/>
  <c r="AJ27" i="2"/>
  <c r="AJ14" i="2"/>
  <c r="AJ26" i="2"/>
  <c r="AJ10" i="2"/>
  <c r="AJ22" i="2"/>
  <c r="AJ9" i="2"/>
  <c r="AJ17" i="2"/>
  <c r="AJ12" i="2"/>
  <c r="AJ24" i="2"/>
  <c r="AJ19" i="2"/>
  <c r="AJ13" i="2"/>
  <c r="AJ16" i="2"/>
  <c r="AJ18" i="2"/>
  <c r="AJ11" i="2"/>
  <c r="AJ20" i="2"/>
  <c r="AJ21" i="2"/>
  <c r="AJ25" i="2"/>
  <c r="AJ23" i="2"/>
  <c r="AJ28" i="2"/>
  <c r="AL8" i="2"/>
  <c r="AK7" i="2"/>
  <c r="AL27" i="12" l="1"/>
  <c r="AL25" i="12"/>
  <c r="AL23" i="12"/>
  <c r="AL11" i="12"/>
  <c r="AL16" i="12"/>
  <c r="AL9" i="12"/>
  <c r="AL22" i="12"/>
  <c r="AL20" i="12"/>
  <c r="AL21" i="12"/>
  <c r="AL28" i="12"/>
  <c r="AL19" i="12"/>
  <c r="AL13" i="12"/>
  <c r="AL14" i="12"/>
  <c r="AL26" i="12"/>
  <c r="AL17" i="12"/>
  <c r="AL15" i="12"/>
  <c r="AL10" i="12"/>
  <c r="AL12" i="12"/>
  <c r="AL18" i="12"/>
  <c r="AL24" i="12"/>
  <c r="AM7" i="12"/>
  <c r="AN8" i="12"/>
  <c r="AM8" i="11"/>
  <c r="AL7" i="11"/>
  <c r="AM8" i="15"/>
  <c r="AL7" i="15"/>
  <c r="AM8" i="14"/>
  <c r="AL7" i="14"/>
  <c r="AN7" i="13"/>
  <c r="AO8" i="13"/>
  <c r="AO7" i="13" s="1"/>
  <c r="AK16" i="10"/>
  <c r="AK28" i="10"/>
  <c r="AK26" i="10"/>
  <c r="AK24" i="10"/>
  <c r="AK22" i="10"/>
  <c r="AK20" i="10"/>
  <c r="AK18" i="10"/>
  <c r="AK27" i="10"/>
  <c r="AK25" i="10"/>
  <c r="AK23" i="10"/>
  <c r="AK21" i="10"/>
  <c r="AK19" i="10"/>
  <c r="AK17" i="10"/>
  <c r="AK15" i="10"/>
  <c r="AK12" i="10"/>
  <c r="AK10" i="10"/>
  <c r="AK14" i="10"/>
  <c r="AK11" i="10"/>
  <c r="AK9" i="10"/>
  <c r="AK13" i="10"/>
  <c r="AM8" i="10"/>
  <c r="AL7" i="10"/>
  <c r="AM8" i="9"/>
  <c r="AL7" i="9"/>
  <c r="AN8" i="8"/>
  <c r="AM7" i="8"/>
  <c r="AM8" i="7"/>
  <c r="AL7" i="7"/>
  <c r="AK28" i="7"/>
  <c r="AK26" i="7"/>
  <c r="AK24" i="7"/>
  <c r="AK22" i="7"/>
  <c r="AK20" i="7"/>
  <c r="AK18" i="7"/>
  <c r="AK16" i="7"/>
  <c r="AK14" i="7"/>
  <c r="AK12" i="7"/>
  <c r="AK10" i="7"/>
  <c r="AK27" i="7"/>
  <c r="AK25" i="7"/>
  <c r="AK13" i="7"/>
  <c r="AK17" i="7"/>
  <c r="AK21" i="7"/>
  <c r="AK15" i="7"/>
  <c r="AK23" i="7"/>
  <c r="AK9" i="7"/>
  <c r="AK11" i="7"/>
  <c r="AK19" i="7"/>
  <c r="AM8" i="6"/>
  <c r="AL7" i="6"/>
  <c r="AM8" i="5"/>
  <c r="AL7" i="5"/>
  <c r="AM8" i="2"/>
  <c r="AL7" i="2"/>
  <c r="AN7" i="12" l="1"/>
  <c r="J15" i="12" s="1"/>
  <c r="AO8" i="12"/>
  <c r="AO7" i="12" s="1"/>
  <c r="J26" i="12" s="1"/>
  <c r="J25" i="12"/>
  <c r="J11" i="12"/>
  <c r="J28" i="12"/>
  <c r="AN8" i="11"/>
  <c r="AM7" i="11"/>
  <c r="AL28" i="15"/>
  <c r="AL26" i="15"/>
  <c r="AL24" i="15"/>
  <c r="AL22" i="15"/>
  <c r="AL20" i="15"/>
  <c r="AL18" i="15"/>
  <c r="AL16" i="15"/>
  <c r="AL14" i="15"/>
  <c r="AL12" i="15"/>
  <c r="AL10" i="15"/>
  <c r="AL9" i="15"/>
  <c r="AL11" i="15"/>
  <c r="AL27" i="15"/>
  <c r="AL25" i="15"/>
  <c r="AL23" i="15"/>
  <c r="AL21" i="15"/>
  <c r="AL19" i="15"/>
  <c r="AL17" i="15"/>
  <c r="AL15" i="15"/>
  <c r="AL13" i="15"/>
  <c r="AN8" i="15"/>
  <c r="AM7" i="15"/>
  <c r="AM7" i="14"/>
  <c r="AN8" i="14"/>
  <c r="J14" i="13"/>
  <c r="J25" i="13"/>
  <c r="J23" i="13"/>
  <c r="J9" i="13"/>
  <c r="J12" i="13"/>
  <c r="J20" i="13"/>
  <c r="J16" i="13"/>
  <c r="J21" i="13"/>
  <c r="J24" i="13"/>
  <c r="J15" i="13"/>
  <c r="J11" i="13"/>
  <c r="J22" i="13"/>
  <c r="J19" i="13"/>
  <c r="J18" i="13"/>
  <c r="J17" i="13"/>
  <c r="J28" i="13"/>
  <c r="J10" i="13"/>
  <c r="J27" i="13"/>
  <c r="J13" i="13"/>
  <c r="J26" i="13"/>
  <c r="AN8" i="10"/>
  <c r="AM7" i="10"/>
  <c r="AN8" i="9"/>
  <c r="AM7" i="9"/>
  <c r="AO8" i="8"/>
  <c r="AN7" i="8"/>
  <c r="AN8" i="7"/>
  <c r="AM7" i="7"/>
  <c r="AN8" i="6"/>
  <c r="AM7" i="6"/>
  <c r="AM7" i="5"/>
  <c r="AN8" i="5"/>
  <c r="AN8" i="2"/>
  <c r="AM7" i="2"/>
  <c r="AV9" i="12" l="1"/>
  <c r="J14" i="12"/>
  <c r="AX9" i="12"/>
  <c r="AW22" i="12"/>
  <c r="AV21" i="12"/>
  <c r="AW9" i="12"/>
  <c r="AW21" i="12"/>
  <c r="BA21" i="12" s="1"/>
  <c r="AW26" i="12"/>
  <c r="BA26" i="12" s="1"/>
  <c r="J18" i="12"/>
  <c r="J21" i="12"/>
  <c r="J20" i="12"/>
  <c r="J9" i="12"/>
  <c r="J13" i="12"/>
  <c r="J12" i="12"/>
  <c r="AX26" i="12"/>
  <c r="J17" i="12"/>
  <c r="J23" i="12"/>
  <c r="J24" i="12"/>
  <c r="J27" i="12"/>
  <c r="J10" i="12"/>
  <c r="AV22" i="12"/>
  <c r="AW27" i="12"/>
  <c r="J19" i="12"/>
  <c r="J16" i="12"/>
  <c r="J22" i="12"/>
  <c r="AN7" i="11"/>
  <c r="J16" i="11" s="1"/>
  <c r="AO8" i="11"/>
  <c r="AO7" i="11" s="1"/>
  <c r="AN7" i="15"/>
  <c r="AO8" i="15"/>
  <c r="AO7" i="15" s="1"/>
  <c r="AO8" i="14"/>
  <c r="AO7" i="14" s="1"/>
  <c r="AN7" i="14"/>
  <c r="AW28" i="13"/>
  <c r="AX28" i="13"/>
  <c r="AV28" i="13"/>
  <c r="AW9" i="13"/>
  <c r="AX9" i="13"/>
  <c r="AV9" i="13"/>
  <c r="AX11" i="13"/>
  <c r="AV11" i="13"/>
  <c r="AW11" i="13"/>
  <c r="AX24" i="13"/>
  <c r="AV24" i="13"/>
  <c r="AW24" i="13"/>
  <c r="AX13" i="13"/>
  <c r="AV13" i="13"/>
  <c r="AW13" i="13"/>
  <c r="AV12" i="13"/>
  <c r="AX12" i="13"/>
  <c r="AW12" i="13"/>
  <c r="AX15" i="13"/>
  <c r="AW15" i="13"/>
  <c r="AV15" i="13"/>
  <c r="AX16" i="13"/>
  <c r="AV16" i="13"/>
  <c r="AW16" i="13"/>
  <c r="AW17" i="13"/>
  <c r="AX17" i="13"/>
  <c r="AV17" i="13"/>
  <c r="AX18" i="13"/>
  <c r="AV18" i="13"/>
  <c r="AW18" i="13"/>
  <c r="AW19" i="13"/>
  <c r="AV19" i="13"/>
  <c r="AX19" i="13"/>
  <c r="AY24" i="13"/>
  <c r="AY20" i="13"/>
  <c r="AY28" i="13"/>
  <c r="AY26" i="13"/>
  <c r="AY22" i="13"/>
  <c r="AY18" i="13"/>
  <c r="AY16" i="13"/>
  <c r="AY14" i="13"/>
  <c r="AY17" i="13"/>
  <c r="AY11" i="13"/>
  <c r="AY19" i="13"/>
  <c r="AY10" i="13"/>
  <c r="AY9" i="13"/>
  <c r="AY12" i="13"/>
  <c r="AY21" i="13"/>
  <c r="AY27" i="13"/>
  <c r="AY13" i="13"/>
  <c r="AY15" i="13"/>
  <c r="AY23" i="13"/>
  <c r="AY25" i="13"/>
  <c r="AW14" i="13"/>
  <c r="AX14" i="13"/>
  <c r="AV14" i="13"/>
  <c r="AX21" i="13"/>
  <c r="AV21" i="13"/>
  <c r="AW21" i="13"/>
  <c r="AW10" i="13"/>
  <c r="AV10" i="13"/>
  <c r="AX10" i="13"/>
  <c r="AX23" i="13"/>
  <c r="AV23" i="13"/>
  <c r="AW23" i="13"/>
  <c r="AW20" i="13"/>
  <c r="AV20" i="13"/>
  <c r="AX20" i="13"/>
  <c r="AV25" i="13"/>
  <c r="AX25" i="13"/>
  <c r="AW25" i="13"/>
  <c r="AV26" i="13"/>
  <c r="AX26" i="13"/>
  <c r="AW26" i="13"/>
  <c r="AV22" i="13"/>
  <c r="AX22" i="13"/>
  <c r="AW22" i="13"/>
  <c r="AV27" i="13"/>
  <c r="AW27" i="13"/>
  <c r="AX27" i="13"/>
  <c r="AN7" i="10"/>
  <c r="AO8" i="10"/>
  <c r="AM28" i="9"/>
  <c r="AM26" i="9"/>
  <c r="AM24" i="9"/>
  <c r="AM22" i="9"/>
  <c r="AM20" i="9"/>
  <c r="AM18" i="9"/>
  <c r="AM16" i="9"/>
  <c r="AM14" i="9"/>
  <c r="AM27" i="9"/>
  <c r="AM25" i="9"/>
  <c r="AM23" i="9"/>
  <c r="AM21" i="9"/>
  <c r="AM19" i="9"/>
  <c r="AM17" i="9"/>
  <c r="AM13" i="9"/>
  <c r="AM9" i="9"/>
  <c r="AM12" i="9"/>
  <c r="AM11" i="9"/>
  <c r="AM10" i="9"/>
  <c r="AM15" i="9"/>
  <c r="AO8" i="9"/>
  <c r="AO7" i="9" s="1"/>
  <c r="AN7" i="9"/>
  <c r="J21" i="8"/>
  <c r="J19" i="8"/>
  <c r="J15" i="8"/>
  <c r="J25" i="8"/>
  <c r="J14" i="8"/>
  <c r="J28" i="8"/>
  <c r="J16" i="8"/>
  <c r="J13" i="8"/>
  <c r="J20" i="8"/>
  <c r="J24" i="8"/>
  <c r="J11" i="8"/>
  <c r="J22" i="8"/>
  <c r="J17" i="8"/>
  <c r="J26" i="8"/>
  <c r="J9" i="8"/>
  <c r="J23" i="8"/>
  <c r="J18" i="8"/>
  <c r="J10" i="8"/>
  <c r="J12" i="8"/>
  <c r="J27" i="8"/>
  <c r="AO8" i="7"/>
  <c r="AO7" i="7" s="1"/>
  <c r="AN7" i="7"/>
  <c r="AO8" i="6"/>
  <c r="AO7" i="6" s="1"/>
  <c r="AN7" i="6"/>
  <c r="AN7" i="5"/>
  <c r="AO8" i="5"/>
  <c r="AO7" i="5" s="1"/>
  <c r="AO8" i="2"/>
  <c r="AO7" i="2" s="1"/>
  <c r="AN7" i="2"/>
  <c r="BD21" i="12" l="1"/>
  <c r="BE21" i="12" s="1"/>
  <c r="BA27" i="12"/>
  <c r="BD27" i="12"/>
  <c r="BE27" i="12" s="1"/>
  <c r="BA9" i="12"/>
  <c r="BD9" i="12"/>
  <c r="BE9" i="12" s="1"/>
  <c r="BA22" i="12"/>
  <c r="BD22" i="12"/>
  <c r="BE22" i="12" s="1"/>
  <c r="BD26" i="12"/>
  <c r="BE26" i="12" s="1"/>
  <c r="AV20" i="12"/>
  <c r="AX20" i="12"/>
  <c r="AW20" i="12"/>
  <c r="AX28" i="12"/>
  <c r="AV28" i="12"/>
  <c r="AW28" i="12"/>
  <c r="AW10" i="12"/>
  <c r="AX10" i="12"/>
  <c r="AV10" i="12"/>
  <c r="AX27" i="12"/>
  <c r="AX15" i="12"/>
  <c r="AW15" i="12"/>
  <c r="AV15" i="12"/>
  <c r="AV27" i="12"/>
  <c r="AV16" i="12"/>
  <c r="AW16" i="12"/>
  <c r="AX16" i="12"/>
  <c r="AX22" i="12"/>
  <c r="AW17" i="12"/>
  <c r="AV17" i="12"/>
  <c r="AX17" i="12"/>
  <c r="AW12" i="12"/>
  <c r="AV12" i="12"/>
  <c r="AX12" i="12"/>
  <c r="AX19" i="12"/>
  <c r="AV19" i="12"/>
  <c r="AW19" i="12"/>
  <c r="AV24" i="12"/>
  <c r="AW24" i="12"/>
  <c r="AX24" i="12"/>
  <c r="AY28" i="12"/>
  <c r="AY13" i="12"/>
  <c r="AY17" i="12"/>
  <c r="AY26" i="12"/>
  <c r="AY9" i="12"/>
  <c r="AY24" i="12"/>
  <c r="AY22" i="12"/>
  <c r="AY23" i="12"/>
  <c r="AY25" i="12"/>
  <c r="AY12" i="12"/>
  <c r="AY27" i="12"/>
  <c r="AY21" i="12"/>
  <c r="AY20" i="12"/>
  <c r="AY15" i="12"/>
  <c r="AY18" i="12"/>
  <c r="AY10" i="12"/>
  <c r="AY14" i="12"/>
  <c r="AY19" i="12"/>
  <c r="AY11" i="12"/>
  <c r="AY16" i="12"/>
  <c r="AV26" i="12"/>
  <c r="AW23" i="12"/>
  <c r="AX23" i="12"/>
  <c r="AV23" i="12"/>
  <c r="AX13" i="12"/>
  <c r="AW13" i="12"/>
  <c r="AV13" i="12"/>
  <c r="AV25" i="12"/>
  <c r="AW25" i="12"/>
  <c r="AX25" i="12"/>
  <c r="AW14" i="12"/>
  <c r="AV14" i="12"/>
  <c r="AX14" i="12"/>
  <c r="AV11" i="12"/>
  <c r="AX11" i="12"/>
  <c r="AW11" i="12"/>
  <c r="AV18" i="12"/>
  <c r="AW18" i="12"/>
  <c r="AX18" i="12"/>
  <c r="AX21" i="12"/>
  <c r="J24" i="11"/>
  <c r="J11" i="11"/>
  <c r="J10" i="11"/>
  <c r="J12" i="11"/>
  <c r="J9" i="11"/>
  <c r="J26" i="11"/>
  <c r="AY27" i="11"/>
  <c r="AY12" i="11"/>
  <c r="AX18" i="11"/>
  <c r="AY25" i="11"/>
  <c r="AX20" i="11"/>
  <c r="J20" i="11"/>
  <c r="AY10" i="11"/>
  <c r="AY18" i="11"/>
  <c r="J13" i="11"/>
  <c r="J21" i="11"/>
  <c r="AY19" i="11"/>
  <c r="AY22" i="11"/>
  <c r="J14" i="11"/>
  <c r="J18" i="11"/>
  <c r="AY24" i="11"/>
  <c r="J15" i="11"/>
  <c r="J27" i="11"/>
  <c r="AY14" i="11"/>
  <c r="AY26" i="11"/>
  <c r="AO19" i="11"/>
  <c r="AO16" i="11"/>
  <c r="AO27" i="11"/>
  <c r="AO17" i="11"/>
  <c r="AO12" i="11"/>
  <c r="AO15" i="11"/>
  <c r="AO18" i="11"/>
  <c r="AO24" i="11"/>
  <c r="AO13" i="11"/>
  <c r="AO14" i="11"/>
  <c r="AO22" i="11"/>
  <c r="AO11" i="11"/>
  <c r="AO25" i="11"/>
  <c r="AO20" i="11"/>
  <c r="AO10" i="11"/>
  <c r="AO9" i="11"/>
  <c r="AO21" i="11"/>
  <c r="AO28" i="11"/>
  <c r="AO23" i="11"/>
  <c r="AO26" i="11"/>
  <c r="J28" i="11"/>
  <c r="AY21" i="11"/>
  <c r="AY28" i="11"/>
  <c r="AW12" i="11"/>
  <c r="AV13" i="11"/>
  <c r="AX28" i="11"/>
  <c r="AV20" i="11"/>
  <c r="AW18" i="11"/>
  <c r="BA18" i="11" s="1"/>
  <c r="J23" i="11"/>
  <c r="J22" i="11"/>
  <c r="AY23" i="11"/>
  <c r="J25" i="11"/>
  <c r="J17" i="11"/>
  <c r="J19" i="11"/>
  <c r="J28" i="15"/>
  <c r="J26" i="15"/>
  <c r="J22" i="15"/>
  <c r="J16" i="15"/>
  <c r="J25" i="15"/>
  <c r="J23" i="15"/>
  <c r="J19" i="15"/>
  <c r="J11" i="15"/>
  <c r="J15" i="15"/>
  <c r="J14" i="15"/>
  <c r="J27" i="15"/>
  <c r="J18" i="15"/>
  <c r="J9" i="15"/>
  <c r="J17" i="15"/>
  <c r="J21" i="15"/>
  <c r="J10" i="15"/>
  <c r="J20" i="15"/>
  <c r="J24" i="15"/>
  <c r="J13" i="15"/>
  <c r="J12" i="15"/>
  <c r="AN19" i="14"/>
  <c r="AN17" i="14"/>
  <c r="AN27" i="14"/>
  <c r="AN25" i="14"/>
  <c r="AN23" i="14"/>
  <c r="AN21" i="14"/>
  <c r="AN28" i="14"/>
  <c r="AN12" i="14"/>
  <c r="AN22" i="14"/>
  <c r="AN20" i="14"/>
  <c r="AN11" i="14"/>
  <c r="AN10" i="14"/>
  <c r="AN18" i="14"/>
  <c r="AN15" i="14"/>
  <c r="AN24" i="14"/>
  <c r="AN26" i="14"/>
  <c r="AN16" i="14"/>
  <c r="AN13" i="14"/>
  <c r="AN14" i="14"/>
  <c r="J13" i="14"/>
  <c r="J15" i="14"/>
  <c r="J27" i="14"/>
  <c r="J21" i="14"/>
  <c r="J14" i="14"/>
  <c r="J10" i="14"/>
  <c r="J25" i="14"/>
  <c r="J9" i="14"/>
  <c r="J16" i="14"/>
  <c r="J18" i="14"/>
  <c r="J23" i="14"/>
  <c r="J22" i="14"/>
  <c r="J20" i="14"/>
  <c r="J26" i="14"/>
  <c r="J17" i="14"/>
  <c r="J11" i="14"/>
  <c r="J28" i="14"/>
  <c r="J19" i="14"/>
  <c r="J24" i="14"/>
  <c r="J12" i="14"/>
  <c r="BA25" i="13"/>
  <c r="BD25" i="13"/>
  <c r="BE25" i="13" s="1"/>
  <c r="BA21" i="13"/>
  <c r="BD21" i="13"/>
  <c r="BE21" i="13" s="1"/>
  <c r="BA16" i="13"/>
  <c r="BD16" i="13"/>
  <c r="BE16" i="13" s="1"/>
  <c r="BA11" i="13"/>
  <c r="BD11" i="13"/>
  <c r="BE11" i="13" s="1"/>
  <c r="BA24" i="13"/>
  <c r="BD24" i="13"/>
  <c r="BE24" i="13" s="1"/>
  <c r="BA15" i="13"/>
  <c r="BD15" i="13"/>
  <c r="BE15" i="13" s="1"/>
  <c r="BA20" i="13"/>
  <c r="BD20" i="13"/>
  <c r="BE20" i="13" s="1"/>
  <c r="BA14" i="13"/>
  <c r="BD14" i="13"/>
  <c r="BE14" i="13" s="1"/>
  <c r="BA18" i="13"/>
  <c r="BD18" i="13"/>
  <c r="BE18" i="13" s="1"/>
  <c r="BA12" i="13"/>
  <c r="BD12" i="13"/>
  <c r="BE12" i="13" s="1"/>
  <c r="BA22" i="13"/>
  <c r="BD22" i="13"/>
  <c r="BE22" i="13" s="1"/>
  <c r="BA23" i="13"/>
  <c r="BD23" i="13"/>
  <c r="BE23" i="13" s="1"/>
  <c r="BA27" i="13"/>
  <c r="BD27" i="13"/>
  <c r="BE27" i="13" s="1"/>
  <c r="BA9" i="13"/>
  <c r="BD9" i="13"/>
  <c r="BE9" i="13" s="1"/>
  <c r="BA10" i="13"/>
  <c r="BD10" i="13"/>
  <c r="BE10" i="13" s="1"/>
  <c r="BA13" i="13"/>
  <c r="BD13" i="13"/>
  <c r="BE13" i="13" s="1"/>
  <c r="BA26" i="13"/>
  <c r="BD26" i="13"/>
  <c r="BE26" i="13" s="1"/>
  <c r="BA19" i="13"/>
  <c r="BD19" i="13"/>
  <c r="BE19" i="13" s="1"/>
  <c r="BA17" i="13"/>
  <c r="BD17" i="13"/>
  <c r="BE17" i="13" s="1"/>
  <c r="BA28" i="13"/>
  <c r="BD28" i="13"/>
  <c r="BE28" i="13" s="1"/>
  <c r="J19" i="10"/>
  <c r="J20" i="10"/>
  <c r="J17" i="10"/>
  <c r="J11" i="10"/>
  <c r="J15" i="10"/>
  <c r="J13" i="10"/>
  <c r="J28" i="10"/>
  <c r="J23" i="10"/>
  <c r="J26" i="10"/>
  <c r="J18" i="10"/>
  <c r="J14" i="10"/>
  <c r="J27" i="10"/>
  <c r="J16" i="10"/>
  <c r="J25" i="10"/>
  <c r="J24" i="10"/>
  <c r="J22" i="10"/>
  <c r="J10" i="10"/>
  <c r="J12" i="10"/>
  <c r="J9" i="10"/>
  <c r="J21" i="10"/>
  <c r="J22" i="9"/>
  <c r="J19" i="9"/>
  <c r="J21" i="9"/>
  <c r="J11" i="9"/>
  <c r="J23" i="9"/>
  <c r="J27" i="9"/>
  <c r="J15" i="9"/>
  <c r="J16" i="9"/>
  <c r="J28" i="9"/>
  <c r="J9" i="9"/>
  <c r="J26" i="9"/>
  <c r="J18" i="9"/>
  <c r="J20" i="9"/>
  <c r="J10" i="9"/>
  <c r="J13" i="9"/>
  <c r="J25" i="9"/>
  <c r="J24" i="9"/>
  <c r="J12" i="9"/>
  <c r="J14" i="9"/>
  <c r="J17" i="9"/>
  <c r="AX13" i="8"/>
  <c r="AW13" i="8"/>
  <c r="AV13" i="8"/>
  <c r="AX28" i="8"/>
  <c r="AW28" i="8"/>
  <c r="AV28" i="8"/>
  <c r="AY28" i="8"/>
  <c r="AY26" i="8"/>
  <c r="AY24" i="8"/>
  <c r="AY22" i="8"/>
  <c r="AY23" i="8"/>
  <c r="AY17" i="8"/>
  <c r="AY25" i="8"/>
  <c r="AY11" i="8"/>
  <c r="AY10" i="8"/>
  <c r="AY19" i="8"/>
  <c r="AY18" i="8"/>
  <c r="AY12" i="8"/>
  <c r="AY13" i="8"/>
  <c r="AY20" i="8"/>
  <c r="AY9" i="8"/>
  <c r="AY14" i="8"/>
  <c r="AY21" i="8"/>
  <c r="AY27" i="8"/>
  <c r="AY16" i="8"/>
  <c r="AY15" i="8"/>
  <c r="AV26" i="8"/>
  <c r="AX26" i="8"/>
  <c r="AW26" i="8"/>
  <c r="AX19" i="8"/>
  <c r="AV19" i="8"/>
  <c r="AW19" i="8"/>
  <c r="AV9" i="8"/>
  <c r="AX9" i="8"/>
  <c r="AW9" i="8"/>
  <c r="AV23" i="8"/>
  <c r="AX23" i="8"/>
  <c r="AW23" i="8"/>
  <c r="AW20" i="8"/>
  <c r="AX20" i="8"/>
  <c r="AV20" i="8"/>
  <c r="AV22" i="8"/>
  <c r="AW22" i="8"/>
  <c r="AX22" i="8"/>
  <c r="AX25" i="8"/>
  <c r="AW25" i="8"/>
  <c r="AV25" i="8"/>
  <c r="AW16" i="8"/>
  <c r="AV16" i="8"/>
  <c r="AX16" i="8"/>
  <c r="AX14" i="8"/>
  <c r="AW14" i="8"/>
  <c r="AV14" i="8"/>
  <c r="AW11" i="8"/>
  <c r="AV11" i="8"/>
  <c r="AX11" i="8"/>
  <c r="AV27" i="8"/>
  <c r="AX27" i="8"/>
  <c r="AW27" i="8"/>
  <c r="AV18" i="8"/>
  <c r="AW18" i="8"/>
  <c r="AX18" i="8"/>
  <c r="AV24" i="8"/>
  <c r="AX24" i="8"/>
  <c r="AW24" i="8"/>
  <c r="AW10" i="8"/>
  <c r="AV10" i="8"/>
  <c r="AX10" i="8"/>
  <c r="AX15" i="8"/>
  <c r="AV15" i="8"/>
  <c r="AW15" i="8"/>
  <c r="AV17" i="8"/>
  <c r="AW17" i="8"/>
  <c r="AX17" i="8"/>
  <c r="AW12" i="8"/>
  <c r="AV12" i="8"/>
  <c r="AX12" i="8"/>
  <c r="AX21" i="8"/>
  <c r="AW21" i="8"/>
  <c r="AV21" i="8"/>
  <c r="J18" i="7"/>
  <c r="J11" i="7"/>
  <c r="J26" i="7"/>
  <c r="J13" i="7"/>
  <c r="J27" i="7"/>
  <c r="J12" i="7"/>
  <c r="J10" i="7"/>
  <c r="J22" i="7"/>
  <c r="J17" i="7"/>
  <c r="J25" i="7"/>
  <c r="J24" i="7"/>
  <c r="J9" i="7"/>
  <c r="J16" i="7"/>
  <c r="J14" i="7"/>
  <c r="J15" i="7"/>
  <c r="J23" i="7"/>
  <c r="J20" i="7"/>
  <c r="J21" i="7"/>
  <c r="J28" i="7"/>
  <c r="J19" i="7"/>
  <c r="AN13" i="6"/>
  <c r="AN11" i="6"/>
  <c r="AN27" i="6"/>
  <c r="AN25" i="6"/>
  <c r="AN23" i="6"/>
  <c r="AN21" i="6"/>
  <c r="AN19" i="6"/>
  <c r="AN17" i="6"/>
  <c r="AN15" i="6"/>
  <c r="AN28" i="6"/>
  <c r="AN26" i="6"/>
  <c r="AN24" i="6"/>
  <c r="AN10" i="6"/>
  <c r="AN22" i="6"/>
  <c r="AN12" i="6"/>
  <c r="AN20" i="6"/>
  <c r="AN18" i="6"/>
  <c r="AN14" i="6"/>
  <c r="AN16" i="6"/>
  <c r="J12" i="6"/>
  <c r="J17" i="6"/>
  <c r="J27" i="6"/>
  <c r="J9" i="6"/>
  <c r="J26" i="6"/>
  <c r="J23" i="6"/>
  <c r="J14" i="6"/>
  <c r="J18" i="6"/>
  <c r="J16" i="6"/>
  <c r="J24" i="6"/>
  <c r="J10" i="6"/>
  <c r="J15" i="6"/>
  <c r="J13" i="6"/>
  <c r="J28" i="6"/>
  <c r="J25" i="6"/>
  <c r="J20" i="6"/>
  <c r="J11" i="6"/>
  <c r="J22" i="6"/>
  <c r="J21" i="6"/>
  <c r="J19" i="6"/>
  <c r="J10" i="5"/>
  <c r="J23" i="5"/>
  <c r="J18" i="5"/>
  <c r="J27" i="5"/>
  <c r="J12" i="5"/>
  <c r="J21" i="5"/>
  <c r="J26" i="5"/>
  <c r="J19" i="5"/>
  <c r="J24" i="5"/>
  <c r="J17" i="5"/>
  <c r="J9" i="5"/>
  <c r="J14" i="5"/>
  <c r="J22" i="5"/>
  <c r="J16" i="5"/>
  <c r="J28" i="5"/>
  <c r="J15" i="5"/>
  <c r="J20" i="5"/>
  <c r="J25" i="5"/>
  <c r="J13" i="5"/>
  <c r="J11" i="5"/>
  <c r="J9" i="2"/>
  <c r="AY28" i="2" s="1"/>
  <c r="J10" i="2"/>
  <c r="J23" i="2"/>
  <c r="J25" i="2"/>
  <c r="J26" i="2"/>
  <c r="J20" i="2"/>
  <c r="J27" i="2"/>
  <c r="J28" i="2"/>
  <c r="J14" i="2"/>
  <c r="J12" i="2"/>
  <c r="J11" i="2"/>
  <c r="J19" i="2"/>
  <c r="J13" i="2"/>
  <c r="J17" i="2"/>
  <c r="J24" i="2"/>
  <c r="J18" i="2"/>
  <c r="J22" i="2"/>
  <c r="J16" i="2"/>
  <c r="J15" i="2"/>
  <c r="J21" i="2"/>
  <c r="BD18" i="11" l="1"/>
  <c r="BE18" i="11" s="1"/>
  <c r="BD19" i="12"/>
  <c r="BE19" i="12" s="1"/>
  <c r="BA19" i="12"/>
  <c r="BD20" i="12"/>
  <c r="BE20" i="12" s="1"/>
  <c r="BA20" i="12"/>
  <c r="BD14" i="12"/>
  <c r="BE14" i="12" s="1"/>
  <c r="BA14" i="12"/>
  <c r="BA16" i="12"/>
  <c r="BD16" i="12"/>
  <c r="BE16" i="12" s="1"/>
  <c r="BA15" i="12"/>
  <c r="BD15" i="12"/>
  <c r="BE15" i="12" s="1"/>
  <c r="BA25" i="12"/>
  <c r="BD25" i="12"/>
  <c r="BE25" i="12" s="1"/>
  <c r="BA12" i="12"/>
  <c r="BD12" i="12"/>
  <c r="BE12" i="12" s="1"/>
  <c r="BD18" i="12"/>
  <c r="BE18" i="12" s="1"/>
  <c r="BA18" i="12"/>
  <c r="BD13" i="12"/>
  <c r="BE13" i="12" s="1"/>
  <c r="BA13" i="12"/>
  <c r="BA23" i="12"/>
  <c r="BD23" i="12"/>
  <c r="BE23" i="12" s="1"/>
  <c r="BA17" i="12"/>
  <c r="BD17" i="12"/>
  <c r="BE17" i="12" s="1"/>
  <c r="BA10" i="12"/>
  <c r="BD10" i="12"/>
  <c r="BE10" i="12" s="1"/>
  <c r="BA24" i="12"/>
  <c r="BD24" i="12"/>
  <c r="BE24" i="12" s="1"/>
  <c r="BD11" i="12"/>
  <c r="BE11" i="12" s="1"/>
  <c r="BA11" i="12"/>
  <c r="BD28" i="12"/>
  <c r="BE28" i="12" s="1"/>
  <c r="BA28" i="12"/>
  <c r="AW13" i="11"/>
  <c r="AV18" i="11"/>
  <c r="AV12" i="11"/>
  <c r="AY20" i="11"/>
  <c r="AY16" i="11"/>
  <c r="AY11" i="11"/>
  <c r="AY13" i="11"/>
  <c r="AX27" i="11"/>
  <c r="AY15" i="11"/>
  <c r="AY17" i="11"/>
  <c r="AY9" i="11"/>
  <c r="AX12" i="11"/>
  <c r="BD12" i="11"/>
  <c r="BE12" i="11" s="1"/>
  <c r="BA12" i="11"/>
  <c r="AV25" i="11"/>
  <c r="AW25" i="11"/>
  <c r="AX25" i="11"/>
  <c r="AX11" i="11"/>
  <c r="AW11" i="11"/>
  <c r="AV11" i="11"/>
  <c r="AW23" i="11"/>
  <c r="AV23" i="11"/>
  <c r="AX23" i="11"/>
  <c r="AW17" i="11"/>
  <c r="AX17" i="11"/>
  <c r="AV17" i="11"/>
  <c r="AW28" i="11"/>
  <c r="AX10" i="11"/>
  <c r="AV10" i="11"/>
  <c r="AW10" i="11"/>
  <c r="AW27" i="11"/>
  <c r="AV27" i="11"/>
  <c r="AW26" i="11"/>
  <c r="AV26" i="11"/>
  <c r="AX26" i="11"/>
  <c r="AV28" i="11"/>
  <c r="AW19" i="11"/>
  <c r="AV19" i="11"/>
  <c r="AX19" i="11"/>
  <c r="AX21" i="11"/>
  <c r="AW21" i="11"/>
  <c r="AV21" i="11"/>
  <c r="AW20" i="11"/>
  <c r="AX13" i="11"/>
  <c r="AV14" i="11"/>
  <c r="AW14" i="11"/>
  <c r="AX14" i="11"/>
  <c r="AX22" i="11"/>
  <c r="AV22" i="11"/>
  <c r="AW22" i="11"/>
  <c r="AW16" i="11"/>
  <c r="AV16" i="11"/>
  <c r="AX16" i="11"/>
  <c r="AW24" i="11"/>
  <c r="AX24" i="11"/>
  <c r="AV24" i="11"/>
  <c r="AW15" i="11"/>
  <c r="AV15" i="11"/>
  <c r="AX15" i="11"/>
  <c r="AV9" i="11"/>
  <c r="AX9" i="11"/>
  <c r="AW9" i="11"/>
  <c r="AW22" i="15"/>
  <c r="AX22" i="15"/>
  <c r="AX21" i="15"/>
  <c r="AW21" i="15"/>
  <c r="AX18" i="15"/>
  <c r="AW18" i="15"/>
  <c r="AX23" i="15"/>
  <c r="AW23" i="15"/>
  <c r="AX12" i="15"/>
  <c r="AW12" i="15"/>
  <c r="AW25" i="15"/>
  <c r="AX25" i="15"/>
  <c r="AX20" i="15"/>
  <c r="AW20" i="15"/>
  <c r="AX27" i="15"/>
  <c r="AW27" i="15"/>
  <c r="AW26" i="15"/>
  <c r="AX26" i="15"/>
  <c r="AW28" i="15"/>
  <c r="AX28" i="15"/>
  <c r="AX9" i="15"/>
  <c r="AW9" i="15"/>
  <c r="AY26" i="15"/>
  <c r="AY28" i="15"/>
  <c r="AY19" i="15"/>
  <c r="AY15" i="15"/>
  <c r="AY9" i="15"/>
  <c r="AY20" i="15"/>
  <c r="AY12" i="15"/>
  <c r="AY27" i="15"/>
  <c r="AY13" i="15"/>
  <c r="AY11" i="15"/>
  <c r="AY21" i="15"/>
  <c r="AY25" i="15"/>
  <c r="AY22" i="15"/>
  <c r="AY14" i="15"/>
  <c r="AY10" i="15"/>
  <c r="AY16" i="15"/>
  <c r="AY17" i="15"/>
  <c r="AY23" i="15"/>
  <c r="AY24" i="15"/>
  <c r="AY18" i="15"/>
  <c r="AX11" i="15"/>
  <c r="AW11" i="15"/>
  <c r="AW19" i="15"/>
  <c r="AX19" i="15"/>
  <c r="AX16" i="15"/>
  <c r="AW16" i="15"/>
  <c r="AW13" i="15"/>
  <c r="AX13" i="15"/>
  <c r="AX24" i="15"/>
  <c r="AW24" i="15"/>
  <c r="AX15" i="15"/>
  <c r="AW15" i="15"/>
  <c r="AX14" i="15"/>
  <c r="AW14" i="15"/>
  <c r="AX10" i="15"/>
  <c r="AW10" i="15"/>
  <c r="AW17" i="15"/>
  <c r="AX17" i="15"/>
  <c r="AX23" i="14"/>
  <c r="AV23" i="14"/>
  <c r="AW23" i="14"/>
  <c r="AX18" i="14"/>
  <c r="AV18" i="14"/>
  <c r="AW18" i="14"/>
  <c r="AV22" i="14"/>
  <c r="AX22" i="14"/>
  <c r="AW22" i="14"/>
  <c r="AX25" i="14"/>
  <c r="AV25" i="14"/>
  <c r="AW25" i="14"/>
  <c r="AW24" i="14"/>
  <c r="AV24" i="14"/>
  <c r="AX24" i="14"/>
  <c r="AX27" i="14"/>
  <c r="AW27" i="14"/>
  <c r="AV27" i="14"/>
  <c r="AW26" i="14"/>
  <c r="AX26" i="14"/>
  <c r="AV26" i="14"/>
  <c r="AX28" i="14"/>
  <c r="AW28" i="14"/>
  <c r="AV28" i="14"/>
  <c r="AV20" i="14"/>
  <c r="AW20" i="14"/>
  <c r="AX20" i="14"/>
  <c r="AW9" i="14"/>
  <c r="AX9" i="14"/>
  <c r="AV9" i="14"/>
  <c r="AV21" i="14"/>
  <c r="AX21" i="14"/>
  <c r="AW21" i="14"/>
  <c r="AV11" i="14"/>
  <c r="AX11" i="14"/>
  <c r="AW11" i="14"/>
  <c r="AV19" i="14"/>
  <c r="AW19" i="14"/>
  <c r="AX19" i="14"/>
  <c r="AV14" i="14"/>
  <c r="AX14" i="14"/>
  <c r="AW14" i="14"/>
  <c r="AX13" i="14"/>
  <c r="AW13" i="14"/>
  <c r="AV13" i="14"/>
  <c r="AY16" i="14"/>
  <c r="AY28" i="14"/>
  <c r="AY26" i="14"/>
  <c r="AY24" i="14"/>
  <c r="AY22" i="14"/>
  <c r="AY20" i="14"/>
  <c r="AY18" i="14"/>
  <c r="AY11" i="14"/>
  <c r="AY15" i="14"/>
  <c r="AY21" i="14"/>
  <c r="AY23" i="14"/>
  <c r="AY27" i="14"/>
  <c r="AY14" i="14"/>
  <c r="AY13" i="14"/>
  <c r="AY25" i="14"/>
  <c r="AY9" i="14"/>
  <c r="AY19" i="14"/>
  <c r="AY10" i="14"/>
  <c r="AY17" i="14"/>
  <c r="AY12" i="14"/>
  <c r="AW16" i="14"/>
  <c r="AX16" i="14"/>
  <c r="AV16" i="14"/>
  <c r="AX15" i="14"/>
  <c r="AW15" i="14"/>
  <c r="AV15" i="14"/>
  <c r="AW12" i="14"/>
  <c r="AX12" i="14"/>
  <c r="AV12" i="14"/>
  <c r="AX10" i="14"/>
  <c r="AW10" i="14"/>
  <c r="AV10" i="14"/>
  <c r="AX17" i="14"/>
  <c r="AV17" i="14"/>
  <c r="AW17" i="14"/>
  <c r="AW9" i="10"/>
  <c r="AX9" i="10"/>
  <c r="AV9" i="10"/>
  <c r="AW11" i="10"/>
  <c r="AV11" i="10"/>
  <c r="AX11" i="10"/>
  <c r="AW10" i="10"/>
  <c r="AV10" i="10"/>
  <c r="AX10" i="10"/>
  <c r="AV13" i="10"/>
  <c r="AW13" i="10"/>
  <c r="AX13" i="10"/>
  <c r="AX26" i="10"/>
  <c r="AV26" i="10"/>
  <c r="AW26" i="10"/>
  <c r="AW12" i="10"/>
  <c r="AV12" i="10"/>
  <c r="AX12" i="10"/>
  <c r="AX15" i="10"/>
  <c r="AW15" i="10"/>
  <c r="AV15" i="10"/>
  <c r="AV14" i="10"/>
  <c r="AW14" i="10"/>
  <c r="AX14" i="10"/>
  <c r="AV17" i="10"/>
  <c r="AW17" i="10"/>
  <c r="AX17" i="10"/>
  <c r="AX28" i="10"/>
  <c r="AW28" i="10"/>
  <c r="AV28" i="10"/>
  <c r="AX16" i="10"/>
  <c r="AV16" i="10"/>
  <c r="AW16" i="10"/>
  <c r="AV19" i="10"/>
  <c r="AW19" i="10"/>
  <c r="AX19" i="10"/>
  <c r="AX18" i="10"/>
  <c r="AW18" i="10"/>
  <c r="AV18" i="10"/>
  <c r="AW21" i="10"/>
  <c r="AV21" i="10"/>
  <c r="AX21" i="10"/>
  <c r="AY18" i="10"/>
  <c r="AY16" i="10"/>
  <c r="AY22" i="10"/>
  <c r="AY20" i="10"/>
  <c r="AY28" i="10"/>
  <c r="AY26" i="10"/>
  <c r="AY24" i="10"/>
  <c r="AY21" i="10"/>
  <c r="AY11" i="10"/>
  <c r="AY9" i="10"/>
  <c r="AY27" i="10"/>
  <c r="AY13" i="10"/>
  <c r="AY23" i="10"/>
  <c r="AY17" i="10"/>
  <c r="AY14" i="10"/>
  <c r="AY19" i="10"/>
  <c r="AY10" i="10"/>
  <c r="AY15" i="10"/>
  <c r="AY12" i="10"/>
  <c r="AY25" i="10"/>
  <c r="AW20" i="10"/>
  <c r="AV20" i="10"/>
  <c r="AX20" i="10"/>
  <c r="AW23" i="10"/>
  <c r="AX23" i="10"/>
  <c r="AV23" i="10"/>
  <c r="AX22" i="10"/>
  <c r="AV22" i="10"/>
  <c r="AW22" i="10"/>
  <c r="AX25" i="10"/>
  <c r="AW25" i="10"/>
  <c r="AV25" i="10"/>
  <c r="AX24" i="10"/>
  <c r="AW24" i="10"/>
  <c r="AV24" i="10"/>
  <c r="AX27" i="10"/>
  <c r="AV27" i="10"/>
  <c r="AW27" i="10"/>
  <c r="AV22" i="9"/>
  <c r="AW22" i="9"/>
  <c r="AX22" i="9"/>
  <c r="AV21" i="9"/>
  <c r="AX21" i="9"/>
  <c r="AW21" i="9"/>
  <c r="AV20" i="9"/>
  <c r="AX20" i="9"/>
  <c r="AW20" i="9"/>
  <c r="AW23" i="9"/>
  <c r="AV23" i="9"/>
  <c r="AX23" i="9"/>
  <c r="AW25" i="9"/>
  <c r="AV25" i="9"/>
  <c r="AX25" i="9"/>
  <c r="AW24" i="9"/>
  <c r="AX24" i="9"/>
  <c r="AV24" i="9"/>
  <c r="AW27" i="9"/>
  <c r="AX27" i="9"/>
  <c r="AV27" i="9"/>
  <c r="AW26" i="9"/>
  <c r="AX26" i="9"/>
  <c r="AV26" i="9"/>
  <c r="AX10" i="9"/>
  <c r="AV10" i="9"/>
  <c r="AW10" i="9"/>
  <c r="AW28" i="9"/>
  <c r="AX28" i="9"/>
  <c r="AV28" i="9"/>
  <c r="AV19" i="9"/>
  <c r="AX19" i="9"/>
  <c r="AW19" i="9"/>
  <c r="AV11" i="9"/>
  <c r="AX11" i="9"/>
  <c r="AW11" i="9"/>
  <c r="AV12" i="9"/>
  <c r="AX12" i="9"/>
  <c r="AW12" i="9"/>
  <c r="AX13" i="9"/>
  <c r="AV13" i="9"/>
  <c r="AW13" i="9"/>
  <c r="AV18" i="9"/>
  <c r="AX18" i="9"/>
  <c r="AW18" i="9"/>
  <c r="AX9" i="9"/>
  <c r="AV9" i="9"/>
  <c r="AW9" i="9"/>
  <c r="AX14" i="9"/>
  <c r="AW14" i="9"/>
  <c r="AV14" i="9"/>
  <c r="AX15" i="9"/>
  <c r="AV15" i="9"/>
  <c r="AW15" i="9"/>
  <c r="AY24" i="9"/>
  <c r="AY22" i="9"/>
  <c r="AY28" i="9"/>
  <c r="AY26" i="9"/>
  <c r="AY23" i="9"/>
  <c r="AY14" i="9"/>
  <c r="AY18" i="9"/>
  <c r="AY16" i="9"/>
  <c r="AY12" i="9"/>
  <c r="AY15" i="9"/>
  <c r="AY17" i="9"/>
  <c r="AY9" i="9"/>
  <c r="AY27" i="9"/>
  <c r="AY20" i="9"/>
  <c r="AY25" i="9"/>
  <c r="AY13" i="9"/>
  <c r="AY10" i="9"/>
  <c r="AY21" i="9"/>
  <c r="AY11" i="9"/>
  <c r="AY19" i="9"/>
  <c r="AW16" i="9"/>
  <c r="AX16" i="9"/>
  <c r="AV16" i="9"/>
  <c r="AW17" i="9"/>
  <c r="AV17" i="9"/>
  <c r="AX17" i="9"/>
  <c r="BA16" i="8"/>
  <c r="BD16" i="8"/>
  <c r="BE16" i="8" s="1"/>
  <c r="BD15" i="8"/>
  <c r="BE15" i="8" s="1"/>
  <c r="BA15" i="8"/>
  <c r="BA27" i="8"/>
  <c r="BD27" i="8"/>
  <c r="BE27" i="8" s="1"/>
  <c r="BA9" i="8"/>
  <c r="BD9" i="8"/>
  <c r="BE9" i="8" s="1"/>
  <c r="BA19" i="8"/>
  <c r="BD19" i="8"/>
  <c r="BE19" i="8" s="1"/>
  <c r="BA22" i="8"/>
  <c r="BD22" i="8"/>
  <c r="BE22" i="8" s="1"/>
  <c r="BA24" i="8"/>
  <c r="BD24" i="8"/>
  <c r="BE24" i="8" s="1"/>
  <c r="BA26" i="8"/>
  <c r="BD26" i="8"/>
  <c r="BE26" i="8" s="1"/>
  <c r="BA28" i="8"/>
  <c r="BD28" i="8"/>
  <c r="BE28" i="8" s="1"/>
  <c r="BA25" i="8"/>
  <c r="BD25" i="8"/>
  <c r="BE25" i="8" s="1"/>
  <c r="BA10" i="8"/>
  <c r="BD10" i="8"/>
  <c r="BE10" i="8" s="1"/>
  <c r="BA14" i="8"/>
  <c r="BD14" i="8"/>
  <c r="BE14" i="8" s="1"/>
  <c r="BA11" i="8"/>
  <c r="BD11" i="8"/>
  <c r="BE11" i="8" s="1"/>
  <c r="BA12" i="8"/>
  <c r="BD12" i="8"/>
  <c r="BE12" i="8" s="1"/>
  <c r="BA20" i="8"/>
  <c r="BD20" i="8"/>
  <c r="BE20" i="8" s="1"/>
  <c r="BD21" i="8"/>
  <c r="BE21" i="8" s="1"/>
  <c r="BA21" i="8"/>
  <c r="BA23" i="8"/>
  <c r="BD23" i="8"/>
  <c r="BE23" i="8" s="1"/>
  <c r="BA13" i="8"/>
  <c r="BD13" i="8"/>
  <c r="BE13" i="8" s="1"/>
  <c r="BA17" i="8"/>
  <c r="BD17" i="8"/>
  <c r="BE17" i="8" s="1"/>
  <c r="BA18" i="8"/>
  <c r="BD18" i="8"/>
  <c r="BE18" i="8" s="1"/>
  <c r="AX20" i="7"/>
  <c r="AV20" i="7"/>
  <c r="AW20" i="7"/>
  <c r="AX21" i="7"/>
  <c r="AW21" i="7"/>
  <c r="AV21" i="7"/>
  <c r="AX22" i="7"/>
  <c r="AW22" i="7"/>
  <c r="AV22" i="7"/>
  <c r="AX23" i="7"/>
  <c r="AW23" i="7"/>
  <c r="AV23" i="7"/>
  <c r="AX18" i="7"/>
  <c r="AV18" i="7"/>
  <c r="AW18" i="7"/>
  <c r="AX24" i="7"/>
  <c r="AV24" i="7"/>
  <c r="AW24" i="7"/>
  <c r="AV25" i="7"/>
  <c r="AX25" i="7"/>
  <c r="AW25" i="7"/>
  <c r="AW28" i="7"/>
  <c r="AX28" i="7"/>
  <c r="AV28" i="7"/>
  <c r="AX26" i="7"/>
  <c r="AW26" i="7"/>
  <c r="AV26" i="7"/>
  <c r="AX9" i="7"/>
  <c r="AV9" i="7"/>
  <c r="AW9" i="7"/>
  <c r="AW27" i="7"/>
  <c r="AX27" i="7"/>
  <c r="AV27" i="7"/>
  <c r="AX11" i="7"/>
  <c r="AV11" i="7"/>
  <c r="AW11" i="7"/>
  <c r="AY28" i="7"/>
  <c r="AY26" i="7"/>
  <c r="AY24" i="7"/>
  <c r="AY22" i="7"/>
  <c r="AY20" i="7"/>
  <c r="AY18" i="7"/>
  <c r="AY16" i="7"/>
  <c r="AY14" i="7"/>
  <c r="AY12" i="7"/>
  <c r="AY10" i="7"/>
  <c r="AY15" i="7"/>
  <c r="AY27" i="7"/>
  <c r="AY9" i="7"/>
  <c r="AY25" i="7"/>
  <c r="AY13" i="7"/>
  <c r="AY17" i="7"/>
  <c r="AY23" i="7"/>
  <c r="AY21" i="7"/>
  <c r="AY19" i="7"/>
  <c r="AY11" i="7"/>
  <c r="AW12" i="7"/>
  <c r="AV12" i="7"/>
  <c r="AX12" i="7"/>
  <c r="AW13" i="7"/>
  <c r="AV13" i="7"/>
  <c r="AX13" i="7"/>
  <c r="AX19" i="7"/>
  <c r="AV19" i="7"/>
  <c r="AW19" i="7"/>
  <c r="AV14" i="7"/>
  <c r="AW14" i="7"/>
  <c r="AX14" i="7"/>
  <c r="AW15" i="7"/>
  <c r="AX15" i="7"/>
  <c r="AV15" i="7"/>
  <c r="AW10" i="7"/>
  <c r="AV10" i="7"/>
  <c r="AX10" i="7"/>
  <c r="AV16" i="7"/>
  <c r="AW16" i="7"/>
  <c r="AX16" i="7"/>
  <c r="AW17" i="7"/>
  <c r="AV17" i="7"/>
  <c r="AX17" i="7"/>
  <c r="AX19" i="6"/>
  <c r="AW19" i="6"/>
  <c r="AV19" i="6"/>
  <c r="AX21" i="6"/>
  <c r="AV21" i="6"/>
  <c r="AW21" i="6"/>
  <c r="AY10" i="6"/>
  <c r="AY28" i="6"/>
  <c r="AY26" i="6"/>
  <c r="AY24" i="6"/>
  <c r="AY22" i="6"/>
  <c r="AY20" i="6"/>
  <c r="AY18" i="6"/>
  <c r="AY16" i="6"/>
  <c r="AY14" i="6"/>
  <c r="AY12" i="6"/>
  <c r="AY27" i="6"/>
  <c r="AY25" i="6"/>
  <c r="AY23" i="6"/>
  <c r="AY19" i="6"/>
  <c r="AY9" i="6"/>
  <c r="AY21" i="6"/>
  <c r="AY17" i="6"/>
  <c r="AY15" i="6"/>
  <c r="AY13" i="6"/>
  <c r="AY11" i="6"/>
  <c r="AX26" i="6"/>
  <c r="AV26" i="6"/>
  <c r="AW26" i="6"/>
  <c r="AV16" i="6"/>
  <c r="AX16" i="6"/>
  <c r="AW16" i="6"/>
  <c r="AX18" i="6"/>
  <c r="AW18" i="6"/>
  <c r="AV18" i="6"/>
  <c r="AV20" i="6"/>
  <c r="AW20" i="6"/>
  <c r="AX20" i="6"/>
  <c r="AX27" i="6"/>
  <c r="AW27" i="6"/>
  <c r="AV27" i="6"/>
  <c r="AW9" i="6"/>
  <c r="AX9" i="6"/>
  <c r="AV9" i="6"/>
  <c r="AX23" i="6"/>
  <c r="AV23" i="6"/>
  <c r="AW23" i="6"/>
  <c r="AW25" i="6"/>
  <c r="AV25" i="6"/>
  <c r="AX25" i="6"/>
  <c r="AV11" i="6"/>
  <c r="AW11" i="6"/>
  <c r="AX11" i="6"/>
  <c r="AV22" i="6"/>
  <c r="AX22" i="6"/>
  <c r="AW22" i="6"/>
  <c r="AV10" i="6"/>
  <c r="AX10" i="6"/>
  <c r="AW10" i="6"/>
  <c r="AX13" i="6"/>
  <c r="AW13" i="6"/>
  <c r="AV13" i="6"/>
  <c r="AX24" i="6"/>
  <c r="AV24" i="6"/>
  <c r="AW24" i="6"/>
  <c r="AV28" i="6"/>
  <c r="AW28" i="6"/>
  <c r="AX28" i="6"/>
  <c r="AW12" i="6"/>
  <c r="AX12" i="6"/>
  <c r="AV12" i="6"/>
  <c r="AW15" i="6"/>
  <c r="AV15" i="6"/>
  <c r="AX15" i="6"/>
  <c r="AW14" i="6"/>
  <c r="AV14" i="6"/>
  <c r="AX14" i="6"/>
  <c r="AV17" i="6"/>
  <c r="AW17" i="6"/>
  <c r="AX17" i="6"/>
  <c r="AW18" i="5"/>
  <c r="AV18" i="5"/>
  <c r="AX18" i="5"/>
  <c r="AW21" i="5"/>
  <c r="AX21" i="5"/>
  <c r="AV21" i="5"/>
  <c r="AV16" i="5"/>
  <c r="AW16" i="5"/>
  <c r="AX16" i="5"/>
  <c r="AW20" i="5"/>
  <c r="AV20" i="5"/>
  <c r="AX20" i="5"/>
  <c r="AX23" i="5"/>
  <c r="AV23" i="5"/>
  <c r="AW23" i="5"/>
  <c r="AV19" i="5"/>
  <c r="AX19" i="5"/>
  <c r="AW19" i="5"/>
  <c r="AX22" i="5"/>
  <c r="AW22" i="5"/>
  <c r="AV22" i="5"/>
  <c r="AX25" i="5"/>
  <c r="AV25" i="5"/>
  <c r="AW25" i="5"/>
  <c r="AV28" i="5"/>
  <c r="AX28" i="5"/>
  <c r="AW28" i="5"/>
  <c r="AX9" i="5"/>
  <c r="AV9" i="5"/>
  <c r="AW9" i="5"/>
  <c r="AV11" i="5"/>
  <c r="AX11" i="5"/>
  <c r="AW11" i="5"/>
  <c r="AV27" i="5"/>
  <c r="AW27" i="5"/>
  <c r="AX27" i="5"/>
  <c r="AW26" i="5"/>
  <c r="AV26" i="5"/>
  <c r="AX26" i="5"/>
  <c r="AX10" i="5"/>
  <c r="AW10" i="5"/>
  <c r="AV10" i="5"/>
  <c r="AW13" i="5"/>
  <c r="AV13" i="5"/>
  <c r="AX13" i="5"/>
  <c r="AY22" i="5"/>
  <c r="AY26" i="5"/>
  <c r="AY20" i="5"/>
  <c r="AY28" i="5"/>
  <c r="AY24" i="5"/>
  <c r="AY23" i="5"/>
  <c r="AY13" i="5"/>
  <c r="AY19" i="5"/>
  <c r="AY11" i="5"/>
  <c r="AY27" i="5"/>
  <c r="AY21" i="5"/>
  <c r="AY12" i="5"/>
  <c r="AY17" i="5"/>
  <c r="AY10" i="5"/>
  <c r="AY15" i="5"/>
  <c r="AY25" i="5"/>
  <c r="AY9" i="5"/>
  <c r="AY18" i="5"/>
  <c r="AY16" i="5"/>
  <c r="AY14" i="5"/>
  <c r="AX12" i="5"/>
  <c r="AW12" i="5"/>
  <c r="AV12" i="5"/>
  <c r="AX15" i="5"/>
  <c r="AW15" i="5"/>
  <c r="AV15" i="5"/>
  <c r="AV24" i="5"/>
  <c r="AX24" i="5"/>
  <c r="AW24" i="5"/>
  <c r="AX14" i="5"/>
  <c r="AW14" i="5"/>
  <c r="AV14" i="5"/>
  <c r="AW17" i="5"/>
  <c r="AV17" i="5"/>
  <c r="AX17" i="5"/>
  <c r="AY20" i="2"/>
  <c r="AY19" i="2"/>
  <c r="AY18" i="2"/>
  <c r="AY17" i="2"/>
  <c r="AY16" i="2"/>
  <c r="AY27" i="2"/>
  <c r="AY15" i="2"/>
  <c r="AY26" i="2"/>
  <c r="AY14" i="2"/>
  <c r="AY13" i="2"/>
  <c r="AY24" i="2"/>
  <c r="AY9" i="2"/>
  <c r="AY12" i="2"/>
  <c r="AY25" i="2"/>
  <c r="AY23" i="2"/>
  <c r="AY22" i="2"/>
  <c r="AY11" i="2"/>
  <c r="AY21" i="2"/>
  <c r="AY10" i="2"/>
  <c r="AX11" i="2"/>
  <c r="AX15" i="2"/>
  <c r="AX14" i="2"/>
  <c r="AX23" i="2"/>
  <c r="AX26" i="2"/>
  <c r="AX22" i="2"/>
  <c r="AX27" i="2"/>
  <c r="AX21" i="2"/>
  <c r="AX24" i="2"/>
  <c r="AX16" i="2"/>
  <c r="AX18" i="2"/>
  <c r="AX12" i="2"/>
  <c r="AX13" i="2"/>
  <c r="AX20" i="2"/>
  <c r="AX19" i="2"/>
  <c r="AX10" i="2"/>
  <c r="AX17" i="2"/>
  <c r="BD9" i="2"/>
  <c r="BE9" i="2" s="1"/>
  <c r="AX9" i="2"/>
  <c r="AX28" i="2"/>
  <c r="AX25" i="2"/>
  <c r="BA13" i="11" l="1"/>
  <c r="BD13" i="11"/>
  <c r="BE13" i="11" s="1"/>
  <c r="BA15" i="11"/>
  <c r="BD15" i="11"/>
  <c r="BE15" i="11" s="1"/>
  <c r="BA26" i="11"/>
  <c r="BD26" i="11"/>
  <c r="BE26" i="11" s="1"/>
  <c r="BA23" i="11"/>
  <c r="BD23" i="11"/>
  <c r="BE23" i="11" s="1"/>
  <c r="BD17" i="11"/>
  <c r="BE17" i="11" s="1"/>
  <c r="BA17" i="11"/>
  <c r="BA20" i="11"/>
  <c r="BD20" i="11"/>
  <c r="BE20" i="11" s="1"/>
  <c r="BA27" i="11"/>
  <c r="BD27" i="11"/>
  <c r="BE27" i="11" s="1"/>
  <c r="BA11" i="11"/>
  <c r="BD11" i="11"/>
  <c r="BE11" i="11" s="1"/>
  <c r="BA24" i="11"/>
  <c r="BD24" i="11"/>
  <c r="BE24" i="11" s="1"/>
  <c r="BA10" i="11"/>
  <c r="BD10" i="11"/>
  <c r="BE10" i="11" s="1"/>
  <c r="BA14" i="11"/>
  <c r="BD14" i="11"/>
  <c r="BE14" i="11" s="1"/>
  <c r="BD21" i="11"/>
  <c r="BE21" i="11" s="1"/>
  <c r="BA21" i="11"/>
  <c r="BA25" i="11"/>
  <c r="BD25" i="11"/>
  <c r="BE25" i="11" s="1"/>
  <c r="BA16" i="11"/>
  <c r="BD16" i="11"/>
  <c r="BE16" i="11" s="1"/>
  <c r="BA28" i="11"/>
  <c r="BD28" i="11"/>
  <c r="BE28" i="11" s="1"/>
  <c r="BA9" i="11"/>
  <c r="BD9" i="11"/>
  <c r="BE9" i="11" s="1"/>
  <c r="BA22" i="11"/>
  <c r="BD22" i="11"/>
  <c r="BE22" i="11" s="1"/>
  <c r="BD19" i="11"/>
  <c r="BE19" i="11" s="1"/>
  <c r="BA19" i="11"/>
  <c r="BA27" i="15"/>
  <c r="BD27" i="15"/>
  <c r="BE27" i="15" s="1"/>
  <c r="BA15" i="15"/>
  <c r="BD15" i="15"/>
  <c r="BE15" i="15" s="1"/>
  <c r="BA19" i="15"/>
  <c r="BD19" i="15"/>
  <c r="BE19" i="15" s="1"/>
  <c r="BA20" i="15"/>
  <c r="BD20" i="15"/>
  <c r="BE20" i="15" s="1"/>
  <c r="BA18" i="15"/>
  <c r="BD18" i="15"/>
  <c r="BE18" i="15" s="1"/>
  <c r="BA9" i="15"/>
  <c r="BD9" i="15"/>
  <c r="BE9" i="15" s="1"/>
  <c r="BA17" i="15"/>
  <c r="BD17" i="15"/>
  <c r="BE17" i="15" s="1"/>
  <c r="BA21" i="15"/>
  <c r="BD21" i="15"/>
  <c r="BE21" i="15" s="1"/>
  <c r="BA23" i="15"/>
  <c r="BD23" i="15"/>
  <c r="BE23" i="15" s="1"/>
  <c r="BA11" i="15"/>
  <c r="BD11" i="15"/>
  <c r="BE11" i="15" s="1"/>
  <c r="BA10" i="15"/>
  <c r="BD10" i="15"/>
  <c r="BE10" i="15" s="1"/>
  <c r="BA25" i="15"/>
  <c r="BD25" i="15"/>
  <c r="BE25" i="15" s="1"/>
  <c r="BA13" i="15"/>
  <c r="BD13" i="15"/>
  <c r="BE13" i="15" s="1"/>
  <c r="BA28" i="15"/>
  <c r="BD28" i="15"/>
  <c r="BE28" i="15" s="1"/>
  <c r="BA12" i="15"/>
  <c r="BD12" i="15"/>
  <c r="BE12" i="15" s="1"/>
  <c r="BA14" i="15"/>
  <c r="BD14" i="15"/>
  <c r="BE14" i="15" s="1"/>
  <c r="BA24" i="15"/>
  <c r="BD24" i="15"/>
  <c r="BE24" i="15" s="1"/>
  <c r="BA16" i="15"/>
  <c r="BD16" i="15"/>
  <c r="BE16" i="15" s="1"/>
  <c r="BA26" i="15"/>
  <c r="BD26" i="15"/>
  <c r="BE26" i="15" s="1"/>
  <c r="BA22" i="15"/>
  <c r="BD22" i="15"/>
  <c r="BE22" i="15" s="1"/>
  <c r="BA28" i="14"/>
  <c r="BD28" i="14"/>
  <c r="BE28" i="14" s="1"/>
  <c r="BA11" i="14"/>
  <c r="BD11" i="14"/>
  <c r="BE11" i="14" s="1"/>
  <c r="BA15" i="14"/>
  <c r="BD15" i="14"/>
  <c r="BE15" i="14" s="1"/>
  <c r="BA25" i="14"/>
  <c r="BD25" i="14"/>
  <c r="BE25" i="14" s="1"/>
  <c r="BA21" i="14"/>
  <c r="BD21" i="14"/>
  <c r="BE21" i="14" s="1"/>
  <c r="BA22" i="14"/>
  <c r="BD22" i="14"/>
  <c r="BE22" i="14" s="1"/>
  <c r="BA17" i="14"/>
  <c r="BD17" i="14"/>
  <c r="BE17" i="14" s="1"/>
  <c r="BA13" i="14"/>
  <c r="BD13" i="14"/>
  <c r="BE13" i="14" s="1"/>
  <c r="BA26" i="14"/>
  <c r="BD26" i="14"/>
  <c r="BE26" i="14" s="1"/>
  <c r="BA16" i="14"/>
  <c r="BD16" i="14"/>
  <c r="BE16" i="14" s="1"/>
  <c r="BA14" i="14"/>
  <c r="BD14" i="14"/>
  <c r="BE14" i="14" s="1"/>
  <c r="BA18" i="14"/>
  <c r="BD18" i="14"/>
  <c r="BE18" i="14" s="1"/>
  <c r="BA27" i="14"/>
  <c r="BD27" i="14"/>
  <c r="BE27" i="14" s="1"/>
  <c r="BA12" i="14"/>
  <c r="BD12" i="14"/>
  <c r="BE12" i="14" s="1"/>
  <c r="BA10" i="14"/>
  <c r="BD10" i="14"/>
  <c r="BE10" i="14" s="1"/>
  <c r="BA9" i="14"/>
  <c r="BD9" i="14"/>
  <c r="BE9" i="14" s="1"/>
  <c r="BA23" i="14"/>
  <c r="BD23" i="14"/>
  <c r="BE23" i="14" s="1"/>
  <c r="BA19" i="14"/>
  <c r="BD19" i="14"/>
  <c r="BE19" i="14" s="1"/>
  <c r="BA20" i="14"/>
  <c r="BD20" i="14"/>
  <c r="BE20" i="14" s="1"/>
  <c r="BA24" i="14"/>
  <c r="BD24" i="14"/>
  <c r="BE24" i="14" s="1"/>
  <c r="BA22" i="10"/>
  <c r="BD22" i="10"/>
  <c r="BE22" i="10" s="1"/>
  <c r="BA19" i="10"/>
  <c r="BD19" i="10"/>
  <c r="BE19" i="10" s="1"/>
  <c r="BA14" i="10"/>
  <c r="BD14" i="10"/>
  <c r="BE14" i="10" s="1"/>
  <c r="BA13" i="10"/>
  <c r="BD13" i="10"/>
  <c r="BE13" i="10" s="1"/>
  <c r="BA16" i="10"/>
  <c r="BD16" i="10"/>
  <c r="BE16" i="10" s="1"/>
  <c r="BA15" i="10"/>
  <c r="BD15" i="10"/>
  <c r="BE15" i="10" s="1"/>
  <c r="BA10" i="10"/>
  <c r="BD10" i="10"/>
  <c r="BE10" i="10" s="1"/>
  <c r="BA23" i="10"/>
  <c r="BD23" i="10"/>
  <c r="BE23" i="10" s="1"/>
  <c r="BA28" i="10"/>
  <c r="BD28" i="10"/>
  <c r="BE28" i="10" s="1"/>
  <c r="BA24" i="10"/>
  <c r="BD24" i="10"/>
  <c r="BE24" i="10" s="1"/>
  <c r="BA21" i="10"/>
  <c r="BD21" i="10"/>
  <c r="BE21" i="10" s="1"/>
  <c r="BA12" i="10"/>
  <c r="BD12" i="10"/>
  <c r="BE12" i="10" s="1"/>
  <c r="BA11" i="10"/>
  <c r="BD11" i="10"/>
  <c r="BE11" i="10" s="1"/>
  <c r="BA27" i="10"/>
  <c r="BD27" i="10"/>
  <c r="BE27" i="10" s="1"/>
  <c r="BA20" i="10"/>
  <c r="BD20" i="10"/>
  <c r="BE20" i="10" s="1"/>
  <c r="BA26" i="10"/>
  <c r="BD26" i="10"/>
  <c r="BE26" i="10" s="1"/>
  <c r="BA18" i="10"/>
  <c r="BD18" i="10"/>
  <c r="BE18" i="10" s="1"/>
  <c r="BA17" i="10"/>
  <c r="BD17" i="10"/>
  <c r="BE17" i="10" s="1"/>
  <c r="BA25" i="10"/>
  <c r="BD25" i="10"/>
  <c r="BE25" i="10" s="1"/>
  <c r="BA9" i="10"/>
  <c r="BD9" i="10"/>
  <c r="BE9" i="10" s="1"/>
  <c r="BA26" i="9"/>
  <c r="BD26" i="9"/>
  <c r="BE26" i="9" s="1"/>
  <c r="BA23" i="9"/>
  <c r="BD23" i="9"/>
  <c r="BE23" i="9" s="1"/>
  <c r="BA18" i="9"/>
  <c r="BD18" i="9"/>
  <c r="BE18" i="9" s="1"/>
  <c r="BA19" i="9"/>
  <c r="BD19" i="9"/>
  <c r="BE19" i="9" s="1"/>
  <c r="BA20" i="9"/>
  <c r="BD20" i="9"/>
  <c r="BE20" i="9" s="1"/>
  <c r="BA9" i="9"/>
  <c r="BD9" i="9"/>
  <c r="BE9" i="9" s="1"/>
  <c r="BA27" i="9"/>
  <c r="BD27" i="9"/>
  <c r="BE27" i="9" s="1"/>
  <c r="BA11" i="9"/>
  <c r="BD11" i="9"/>
  <c r="BE11" i="9" s="1"/>
  <c r="BA17" i="9"/>
  <c r="BD17" i="9"/>
  <c r="BE17" i="9" s="1"/>
  <c r="BA15" i="9"/>
  <c r="BD15" i="9"/>
  <c r="BE15" i="9" s="1"/>
  <c r="BA13" i="9"/>
  <c r="BD13" i="9"/>
  <c r="BE13" i="9" s="1"/>
  <c r="BA21" i="9"/>
  <c r="BD21" i="9"/>
  <c r="BE21" i="9" s="1"/>
  <c r="BA28" i="9"/>
  <c r="BD28" i="9"/>
  <c r="BE28" i="9" s="1"/>
  <c r="BA24" i="9"/>
  <c r="BD24" i="9"/>
  <c r="BE24" i="9" s="1"/>
  <c r="BA16" i="9"/>
  <c r="BD16" i="9"/>
  <c r="BE16" i="9" s="1"/>
  <c r="BA12" i="9"/>
  <c r="BD12" i="9"/>
  <c r="BE12" i="9" s="1"/>
  <c r="BA10" i="9"/>
  <c r="BD10" i="9"/>
  <c r="BE10" i="9" s="1"/>
  <c r="BA14" i="9"/>
  <c r="BD14" i="9"/>
  <c r="BE14" i="9" s="1"/>
  <c r="BA22" i="9"/>
  <c r="BD22" i="9"/>
  <c r="BE22" i="9" s="1"/>
  <c r="BA25" i="9"/>
  <c r="BD25" i="9"/>
  <c r="BE25" i="9" s="1"/>
  <c r="BA23" i="7"/>
  <c r="BD23" i="7"/>
  <c r="BE23" i="7" s="1"/>
  <c r="BA12" i="7"/>
  <c r="BD12" i="7"/>
  <c r="BE12" i="7" s="1"/>
  <c r="BA25" i="7"/>
  <c r="BD25" i="7"/>
  <c r="BE25" i="7" s="1"/>
  <c r="BA22" i="7"/>
  <c r="BD22" i="7"/>
  <c r="BE22" i="7" s="1"/>
  <c r="BA15" i="7"/>
  <c r="BD15" i="7"/>
  <c r="BE15" i="7" s="1"/>
  <c r="BA14" i="7"/>
  <c r="BD14" i="7"/>
  <c r="BE14" i="7" s="1"/>
  <c r="BA27" i="7"/>
  <c r="BD27" i="7"/>
  <c r="BE27" i="7" s="1"/>
  <c r="BA10" i="7"/>
  <c r="BD10" i="7"/>
  <c r="BE10" i="7" s="1"/>
  <c r="BA9" i="7"/>
  <c r="BD9" i="7"/>
  <c r="BE9" i="7" s="1"/>
  <c r="BA24" i="7"/>
  <c r="BD24" i="7"/>
  <c r="BE24" i="7" s="1"/>
  <c r="BA19" i="7"/>
  <c r="BD19" i="7"/>
  <c r="BE19" i="7" s="1"/>
  <c r="BA21" i="7"/>
  <c r="BD21" i="7"/>
  <c r="BE21" i="7" s="1"/>
  <c r="BA16" i="7"/>
  <c r="BD16" i="7"/>
  <c r="BE16" i="7" s="1"/>
  <c r="BA17" i="7"/>
  <c r="BD17" i="7"/>
  <c r="BE17" i="7" s="1"/>
  <c r="BA18" i="7"/>
  <c r="BD18" i="7"/>
  <c r="BE18" i="7" s="1"/>
  <c r="BA20" i="7"/>
  <c r="BD20" i="7"/>
  <c r="BE20" i="7" s="1"/>
  <c r="BA11" i="7"/>
  <c r="BD11" i="7"/>
  <c r="BE11" i="7" s="1"/>
  <c r="BA26" i="7"/>
  <c r="BD26" i="7"/>
  <c r="BE26" i="7" s="1"/>
  <c r="BA13" i="7"/>
  <c r="BD13" i="7"/>
  <c r="BE13" i="7" s="1"/>
  <c r="BA28" i="7"/>
  <c r="BD28" i="7"/>
  <c r="BE28" i="7" s="1"/>
  <c r="BA15" i="6"/>
  <c r="BD15" i="6"/>
  <c r="BE15" i="6" s="1"/>
  <c r="BA18" i="6"/>
  <c r="BD18" i="6"/>
  <c r="BE18" i="6" s="1"/>
  <c r="BA23" i="6"/>
  <c r="BD23" i="6"/>
  <c r="BE23" i="6" s="1"/>
  <c r="BA16" i="6"/>
  <c r="BD16" i="6"/>
  <c r="BE16" i="6" s="1"/>
  <c r="BA22" i="6"/>
  <c r="BD22" i="6"/>
  <c r="BE22" i="6" s="1"/>
  <c r="BA9" i="6"/>
  <c r="BD9" i="6"/>
  <c r="BE9" i="6" s="1"/>
  <c r="BA21" i="6"/>
  <c r="BD21" i="6"/>
  <c r="BE21" i="6" s="1"/>
  <c r="BA25" i="6"/>
  <c r="BD25" i="6"/>
  <c r="BE25" i="6" s="1"/>
  <c r="BA24" i="6"/>
  <c r="BD24" i="6"/>
  <c r="BE24" i="6" s="1"/>
  <c r="BA26" i="6"/>
  <c r="BD26" i="6"/>
  <c r="BE26" i="6" s="1"/>
  <c r="BA11" i="6"/>
  <c r="BD11" i="6"/>
  <c r="BE11" i="6" s="1"/>
  <c r="BA27" i="6"/>
  <c r="BD27" i="6"/>
  <c r="BE27" i="6" s="1"/>
  <c r="BA12" i="6"/>
  <c r="BD12" i="6"/>
  <c r="BE12" i="6" s="1"/>
  <c r="BA28" i="6"/>
  <c r="BD28" i="6"/>
  <c r="BE28" i="6" s="1"/>
  <c r="BA10" i="6"/>
  <c r="BD10" i="6"/>
  <c r="BE10" i="6" s="1"/>
  <c r="BA17" i="6"/>
  <c r="BD17" i="6"/>
  <c r="BE17" i="6" s="1"/>
  <c r="BA19" i="6"/>
  <c r="BD19" i="6"/>
  <c r="BE19" i="6" s="1"/>
  <c r="BA14" i="6"/>
  <c r="BD14" i="6"/>
  <c r="BE14" i="6" s="1"/>
  <c r="BA13" i="6"/>
  <c r="BD13" i="6"/>
  <c r="BE13" i="6" s="1"/>
  <c r="BA20" i="6"/>
  <c r="BD20" i="6"/>
  <c r="BE20" i="6" s="1"/>
  <c r="BA27" i="5"/>
  <c r="BD27" i="5"/>
  <c r="BE27" i="5" s="1"/>
  <c r="BA20" i="5"/>
  <c r="BD20" i="5"/>
  <c r="BE20" i="5" s="1"/>
  <c r="BA11" i="5"/>
  <c r="BD11" i="5"/>
  <c r="BE11" i="5" s="1"/>
  <c r="BA25" i="5"/>
  <c r="BD25" i="5"/>
  <c r="BE25" i="5" s="1"/>
  <c r="BA22" i="5"/>
  <c r="BD22" i="5"/>
  <c r="BE22" i="5" s="1"/>
  <c r="BA16" i="5"/>
  <c r="BD16" i="5"/>
  <c r="BE16" i="5" s="1"/>
  <c r="BA13" i="5"/>
  <c r="BD13" i="5"/>
  <c r="BE13" i="5" s="1"/>
  <c r="BA17" i="5"/>
  <c r="BD17" i="5"/>
  <c r="BE17" i="5" s="1"/>
  <c r="BA9" i="5"/>
  <c r="BD9" i="5"/>
  <c r="BE9" i="5" s="1"/>
  <c r="BA19" i="5"/>
  <c r="BD19" i="5"/>
  <c r="BE19" i="5" s="1"/>
  <c r="BA15" i="5"/>
  <c r="BD15" i="5"/>
  <c r="BE15" i="5" s="1"/>
  <c r="BA10" i="5"/>
  <c r="BD10" i="5"/>
  <c r="BE10" i="5" s="1"/>
  <c r="BA21" i="5"/>
  <c r="BD21" i="5"/>
  <c r="BE21" i="5" s="1"/>
  <c r="BA28" i="5"/>
  <c r="BD28" i="5"/>
  <c r="BE28" i="5" s="1"/>
  <c r="BA23" i="5"/>
  <c r="BD23" i="5"/>
  <c r="BE23" i="5" s="1"/>
  <c r="BA12" i="5"/>
  <c r="BD12" i="5"/>
  <c r="BE12" i="5" s="1"/>
  <c r="BA14" i="5"/>
  <c r="BD14" i="5"/>
  <c r="BE14" i="5" s="1"/>
  <c r="BA24" i="5"/>
  <c r="BD24" i="5"/>
  <c r="BE24" i="5" s="1"/>
  <c r="BA26" i="5"/>
  <c r="BD26" i="5"/>
  <c r="BE26" i="5" s="1"/>
  <c r="BA18" i="5"/>
  <c r="BD18" i="5"/>
  <c r="BE18" i="5" s="1"/>
  <c r="BA11" i="2"/>
  <c r="BD11" i="2"/>
  <c r="BE11" i="2" s="1"/>
  <c r="BA17" i="2"/>
  <c r="BD17" i="2"/>
  <c r="BE17" i="2" s="1"/>
  <c r="BA13" i="2"/>
  <c r="BD13" i="2"/>
  <c r="BE13" i="2" s="1"/>
  <c r="BA26" i="2"/>
  <c r="BD26" i="2"/>
  <c r="BE26" i="2" s="1"/>
  <c r="BA23" i="2"/>
  <c r="BD23" i="2"/>
  <c r="BE23" i="2" s="1"/>
  <c r="BA16" i="2"/>
  <c r="BD16" i="2"/>
  <c r="BE16" i="2" s="1"/>
  <c r="BA10" i="2"/>
  <c r="BD10" i="2"/>
  <c r="BE10" i="2" s="1"/>
  <c r="BA28" i="2"/>
  <c r="BD28" i="2"/>
  <c r="BE28" i="2" s="1"/>
  <c r="BA25" i="2"/>
  <c r="BD25" i="2"/>
  <c r="BE25" i="2" s="1"/>
  <c r="BA21" i="2"/>
  <c r="BD21" i="2"/>
  <c r="BE21" i="2" s="1"/>
  <c r="BA27" i="2"/>
  <c r="BD27" i="2"/>
  <c r="BE27" i="2" s="1"/>
  <c r="BA14" i="2"/>
  <c r="BD14" i="2"/>
  <c r="BE14" i="2" s="1"/>
  <c r="BA24" i="2"/>
  <c r="BD24" i="2"/>
  <c r="BE24" i="2" s="1"/>
  <c r="BA12" i="2"/>
  <c r="BD12" i="2"/>
  <c r="BE12" i="2" s="1"/>
  <c r="BA19" i="2"/>
  <c r="BD19" i="2"/>
  <c r="BE19" i="2" s="1"/>
  <c r="BA18" i="2"/>
  <c r="BD18" i="2"/>
  <c r="BE18" i="2" s="1"/>
  <c r="BA20" i="2"/>
  <c r="BD20" i="2"/>
  <c r="BE20" i="2" s="1"/>
  <c r="BA22" i="2"/>
  <c r="BD22" i="2"/>
  <c r="BE22" i="2" s="1"/>
  <c r="BA15" i="2"/>
  <c r="BD15" i="2"/>
  <c r="BE15" i="2" s="1"/>
  <c r="BA9" i="2"/>
</calcChain>
</file>

<file path=xl/sharedStrings.xml><?xml version="1.0" encoding="utf-8"?>
<sst xmlns="http://schemas.openxmlformats.org/spreadsheetml/2006/main" count="7029" uniqueCount="46">
  <si>
    <t>S.no</t>
  </si>
  <si>
    <t>Name</t>
  </si>
  <si>
    <t>Employee id</t>
  </si>
  <si>
    <t xml:space="preserve"> Arjun Sharma</t>
  </si>
  <si>
    <t>Priya Patel</t>
  </si>
  <si>
    <t>Ravi Kumar</t>
  </si>
  <si>
    <t>Anjali Gupta</t>
  </si>
  <si>
    <t>Vikram Singh</t>
  </si>
  <si>
    <t>Meera Desai</t>
  </si>
  <si>
    <t>Suresh Iyer</t>
  </si>
  <si>
    <t>Deepika Rao</t>
  </si>
  <si>
    <t>Rahul Reddy</t>
  </si>
  <si>
    <t>Nisha Shah</t>
  </si>
  <si>
    <t>Rajesh Mehta</t>
  </si>
  <si>
    <t>Aishwarya Kulkarni</t>
  </si>
  <si>
    <t>Anil Adhikari</t>
  </si>
  <si>
    <t>Sonia Gopinath</t>
  </si>
  <si>
    <t>Amit Banerjee</t>
  </si>
  <si>
    <t>Preeti Chatterjee</t>
  </si>
  <si>
    <t>Rakesh Bhatt</t>
  </si>
  <si>
    <t>Pooja Chakraborty</t>
  </si>
  <si>
    <t>Sanjay Bhargava</t>
  </si>
  <si>
    <t xml:space="preserve">Shreya Murthy </t>
  </si>
  <si>
    <t>Employee ID</t>
  </si>
  <si>
    <t>Employee Name</t>
  </si>
  <si>
    <t>week Off</t>
  </si>
  <si>
    <t>To</t>
  </si>
  <si>
    <t>From</t>
  </si>
  <si>
    <t>Days</t>
  </si>
  <si>
    <t xml:space="preserve"> Additional Information</t>
  </si>
  <si>
    <t>Present</t>
  </si>
  <si>
    <t xml:space="preserve">Absent </t>
  </si>
  <si>
    <t>Leave</t>
  </si>
  <si>
    <t>Weekoff</t>
  </si>
  <si>
    <t>Paid Days</t>
  </si>
  <si>
    <t>Salary</t>
  </si>
  <si>
    <t>Per day Salary</t>
  </si>
  <si>
    <t>Deduction</t>
  </si>
  <si>
    <t>Total Salary</t>
  </si>
  <si>
    <t>Month</t>
  </si>
  <si>
    <t xml:space="preserve">P </t>
  </si>
  <si>
    <t>L</t>
  </si>
  <si>
    <t xml:space="preserve">A </t>
  </si>
  <si>
    <t>P</t>
  </si>
  <si>
    <t>A</t>
  </si>
  <si>
    <t>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</si>
</sst>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m/yyyy"/>
    <numFmt numFmtId="165" formatCode="dd"/>
    <numFmt numFmtId="166" formatCode="&quot;₹&quot;\ #,##0.00"/>
    <numFmt numFmtId="167" formatCode="&quot;₹&quot;\ #,##0"/>
  </numFmts>
  <fonts count="12" x14ac:knownFonts="1">
    <font>
      <sz val="11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6"/>
      <color theme="0"/>
      <name val="Times New Roman"/>
      <family val="1"/>
    </font>
    <font>
      <b/>
      <sz val="11"/>
      <color theme="3" tint="0.249977111117893"/>
      <name val="Aptos Narrow"/>
      <family val="2"/>
      <scheme val="minor"/>
    </font>
    <font>
      <b/>
      <sz val="18"/>
      <color theme="0"/>
      <name val="Times New Roman"/>
      <family val="1"/>
    </font>
    <font>
      <b/>
      <sz val="16"/>
      <color theme="0"/>
      <name val="Times New Roman"/>
      <family val="1"/>
    </font>
    <font>
      <sz val="12"/>
      <color theme="1"/>
      <name val="Times New Roman"/>
      <family val="1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sz val="12"/>
      <color theme="1" tint="4.9989318521683403E-2"/>
      <name val="Times New Roman"/>
      <family val="1"/>
    </font>
    <font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14" fontId="0" fillId="0" borderId="0" xfId="0" applyNumberFormat="1"/>
    <xf numFmtId="0" fontId="8" fillId="3" borderId="0" xfId="0" applyFont="1" applyFill="1"/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5" xfId="0" applyFont="1" applyBorder="1"/>
    <xf numFmtId="0" fontId="6" fillId="0" borderId="0" xfId="0" applyFont="1"/>
    <xf numFmtId="0" fontId="6" fillId="0" borderId="6" xfId="0" applyFont="1" applyBorder="1"/>
    <xf numFmtId="0" fontId="0" fillId="0" borderId="7" xfId="0" applyBorder="1"/>
    <xf numFmtId="0" fontId="9" fillId="4" borderId="2" xfId="0" applyFont="1" applyFill="1" applyBorder="1"/>
    <xf numFmtId="165" fontId="9" fillId="4" borderId="3" xfId="0" applyNumberFormat="1" applyFont="1" applyFill="1" applyBorder="1"/>
    <xf numFmtId="165" fontId="9" fillId="4" borderId="4" xfId="0" applyNumberFormat="1" applyFont="1" applyFill="1" applyBorder="1"/>
    <xf numFmtId="0" fontId="6" fillId="0" borderId="3" xfId="0" applyFont="1" applyBorder="1"/>
    <xf numFmtId="0" fontId="6" fillId="0" borderId="4" xfId="0" applyFont="1" applyBorder="1"/>
    <xf numFmtId="0" fontId="6" fillId="0" borderId="8" xfId="0" applyFont="1" applyBorder="1"/>
    <xf numFmtId="0" fontId="6" fillId="0" borderId="9" xfId="0" applyFont="1" applyBorder="1"/>
    <xf numFmtId="0" fontId="10" fillId="6" borderId="0" xfId="0" applyFont="1" applyFill="1" applyAlignment="1">
      <alignment horizontal="center" vertical="center"/>
    </xf>
    <xf numFmtId="167" fontId="0" fillId="0" borderId="0" xfId="0" applyNumberFormat="1"/>
    <xf numFmtId="166" fontId="0" fillId="0" borderId="0" xfId="0" applyNumberFormat="1"/>
    <xf numFmtId="0" fontId="0" fillId="0" borderId="10" xfId="0" applyBorder="1"/>
    <xf numFmtId="167" fontId="0" fillId="0" borderId="10" xfId="0" applyNumberFormat="1" applyBorder="1"/>
    <xf numFmtId="166" fontId="0" fillId="0" borderId="10" xfId="0" applyNumberFormat="1" applyBorder="1"/>
    <xf numFmtId="0" fontId="0" fillId="0" borderId="13" xfId="0" applyBorder="1"/>
    <xf numFmtId="167" fontId="0" fillId="0" borderId="13" xfId="0" applyNumberFormat="1" applyBorder="1"/>
    <xf numFmtId="166" fontId="0" fillId="0" borderId="13" xfId="0" applyNumberFormat="1" applyBorder="1"/>
    <xf numFmtId="0" fontId="6" fillId="0" borderId="1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0" fillId="7" borderId="0" xfId="0" applyFill="1"/>
    <xf numFmtId="164" fontId="0" fillId="7" borderId="0" xfId="0" applyNumberFormat="1" applyFill="1"/>
    <xf numFmtId="0" fontId="0" fillId="7" borderId="1" xfId="0" applyFill="1" applyBorder="1"/>
    <xf numFmtId="0" fontId="9" fillId="4" borderId="2" xfId="0" applyFont="1" applyFill="1" applyBorder="1" applyAlignment="1">
      <alignment horizontal="center"/>
    </xf>
    <xf numFmtId="165" fontId="9" fillId="4" borderId="3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9" fillId="4" borderId="2" xfId="0" applyFont="1" applyFill="1" applyBorder="1" applyAlignment="1">
      <alignment horizontal="center" vertical="center"/>
    </xf>
    <xf numFmtId="165" fontId="9" fillId="4" borderId="3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3" borderId="10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/>
    </xf>
    <xf numFmtId="0" fontId="7" fillId="5" borderId="18" xfId="0" applyFont="1" applyFill="1" applyBorder="1" applyAlignment="1">
      <alignment horizontal="center" vertical="center"/>
    </xf>
    <xf numFmtId="165" fontId="9" fillId="4" borderId="19" xfId="0" applyNumberFormat="1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/>
    </xf>
    <xf numFmtId="0" fontId="6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11" fillId="7" borderId="0" xfId="0" applyFont="1" applyFill="1"/>
    <xf numFmtId="164" fontId="11" fillId="7" borderId="0" xfId="0" applyNumberFormat="1" applyFont="1" applyFill="1"/>
    <xf numFmtId="0" fontId="8" fillId="3" borderId="10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165" fontId="9" fillId="4" borderId="19" xfId="0" applyNumberFormat="1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8" fillId="3" borderId="15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</cellXfs>
  <cellStyles count="1">
    <cellStyle name="Normal" xfId="0" builtinId="0"/>
  </cellStyles>
  <dxfs count="170">
    <dxf>
      <fill>
        <patternFill>
          <bgColor theme="0" tint="-0.34998626667073579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</dxf>
    <dxf>
      <font>
        <b/>
        <i val="0"/>
        <color rgb="FFFFC000"/>
      </font>
    </dxf>
    <dxf>
      <fill>
        <patternFill>
          <bgColor theme="0" tint="-0.34998626667073579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numFmt numFmtId="167" formatCode="&quot;₹&quot;\ #,##0"/>
    </dxf>
    <dxf>
      <numFmt numFmtId="167" formatCode="&quot;₹&quot;\ #,##0"/>
    </dxf>
    <dxf>
      <numFmt numFmtId="166" formatCode="&quot;₹&quot;\ #,##0.00"/>
    </dxf>
    <dxf>
      <numFmt numFmtId="167" formatCode="&quot;₹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  <dxf>
      <numFmt numFmtId="167" formatCode="&quot;₹&quot;\ #,##0"/>
    </dxf>
    <dxf>
      <numFmt numFmtId="167" formatCode="&quot;₹&quot;\ #,##0"/>
    </dxf>
    <dxf>
      <numFmt numFmtId="166" formatCode="&quot;₹&quot;\ #,##0.00"/>
    </dxf>
    <dxf>
      <numFmt numFmtId="167" formatCode="&quot;₹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  <dxf>
      <numFmt numFmtId="167" formatCode="&quot;₹&quot;\ #,##0"/>
    </dxf>
    <dxf>
      <numFmt numFmtId="167" formatCode="&quot;₹&quot;\ #,##0"/>
    </dxf>
    <dxf>
      <numFmt numFmtId="166" formatCode="&quot;₹&quot;\ #,##0.00"/>
    </dxf>
    <dxf>
      <numFmt numFmtId="167" formatCode="&quot;₹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  <dxf>
      <numFmt numFmtId="167" formatCode="&quot;₹&quot;\ #,##0"/>
    </dxf>
    <dxf>
      <numFmt numFmtId="167" formatCode="&quot;₹&quot;\ #,##0"/>
    </dxf>
    <dxf>
      <numFmt numFmtId="166" formatCode="&quot;₹&quot;\ #,##0.00"/>
    </dxf>
    <dxf>
      <numFmt numFmtId="167" formatCode="&quot;₹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  <dxf>
      <numFmt numFmtId="167" formatCode="&quot;₹&quot;\ #,##0"/>
    </dxf>
    <dxf>
      <numFmt numFmtId="167" formatCode="&quot;₹&quot;\ #,##0"/>
    </dxf>
    <dxf>
      <numFmt numFmtId="166" formatCode="&quot;₹&quot;\ #,##0.00"/>
    </dxf>
    <dxf>
      <numFmt numFmtId="167" formatCode="&quot;₹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  <dxf>
      <numFmt numFmtId="167" formatCode="&quot;₹&quot;\ #,##0"/>
    </dxf>
    <dxf>
      <numFmt numFmtId="167" formatCode="&quot;₹&quot;\ #,##0"/>
    </dxf>
    <dxf>
      <numFmt numFmtId="166" formatCode="&quot;₹&quot;\ #,##0.00"/>
    </dxf>
    <dxf>
      <numFmt numFmtId="167" formatCode="&quot;₹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  <dxf>
      <numFmt numFmtId="167" formatCode="&quot;₹&quot;\ #,##0"/>
    </dxf>
    <dxf>
      <numFmt numFmtId="167" formatCode="&quot;₹&quot;\ #,##0"/>
    </dxf>
    <dxf>
      <numFmt numFmtId="166" formatCode="&quot;₹&quot;\ #,##0.00"/>
    </dxf>
    <dxf>
      <numFmt numFmtId="167" formatCode="&quot;₹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  <dxf>
      <numFmt numFmtId="167" formatCode="&quot;₹&quot;\ #,##0"/>
    </dxf>
    <dxf>
      <numFmt numFmtId="167" formatCode="&quot;₹&quot;\ #,##0"/>
    </dxf>
    <dxf>
      <numFmt numFmtId="166" formatCode="&quot;₹&quot;\ #,##0.00"/>
    </dxf>
    <dxf>
      <numFmt numFmtId="167" formatCode="&quot;₹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  <dxf>
      <numFmt numFmtId="167" formatCode="&quot;₹&quot;\ #,##0"/>
    </dxf>
    <dxf>
      <numFmt numFmtId="167" formatCode="&quot;₹&quot;\ #,##0"/>
    </dxf>
    <dxf>
      <numFmt numFmtId="166" formatCode="&quot;₹&quot;\ #,##0.00"/>
    </dxf>
    <dxf>
      <numFmt numFmtId="167" formatCode="&quot;₹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  <dxf>
      <numFmt numFmtId="167" formatCode="&quot;₹&quot;\ #,##0"/>
    </dxf>
    <dxf>
      <numFmt numFmtId="167" formatCode="&quot;₹&quot;\ #,##0"/>
    </dxf>
    <dxf>
      <numFmt numFmtId="166" formatCode="&quot;₹&quot;\ #,##0.00"/>
    </dxf>
    <dxf>
      <numFmt numFmtId="167" formatCode="&quot;₹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  <dxf>
      <numFmt numFmtId="167" formatCode="&quot;₹&quot;\ #,##0"/>
    </dxf>
    <dxf>
      <numFmt numFmtId="167" formatCode="&quot;₹&quot;\ #,##0"/>
    </dxf>
    <dxf>
      <numFmt numFmtId="166" formatCode="&quot;₹&quot;\ #,##0.00"/>
    </dxf>
    <dxf>
      <numFmt numFmtId="167" formatCode="&quot;₹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  <dxf>
      <numFmt numFmtId="167" formatCode="&quot;₹&quot;\ #,##0"/>
    </dxf>
    <dxf>
      <numFmt numFmtId="167" formatCode="&quot;₹&quot;\ #,##0"/>
    </dxf>
    <dxf>
      <numFmt numFmtId="166" formatCode="&quot;₹&quot;\ #,##0.00"/>
    </dxf>
    <dxf>
      <numFmt numFmtId="167" formatCode="&quot;₹&quot;\ #,##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Dec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Nov!A1"/><Relationship Id="rId12" Type="http://schemas.openxmlformats.org/officeDocument/2006/relationships/hyperlink" Target="#Jul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Oct!A1"/><Relationship Id="rId11" Type="http://schemas.openxmlformats.org/officeDocument/2006/relationships/hyperlink" Target="#Apr!A1"/><Relationship Id="rId5" Type="http://schemas.openxmlformats.org/officeDocument/2006/relationships/hyperlink" Target="#Sept!A1"/><Relationship Id="rId10" Type="http://schemas.openxmlformats.org/officeDocument/2006/relationships/hyperlink" Target="#May!A1"/><Relationship Id="rId4" Type="http://schemas.openxmlformats.org/officeDocument/2006/relationships/hyperlink" Target="#Aug!A1"/><Relationship Id="rId9" Type="http://schemas.openxmlformats.org/officeDocument/2006/relationships/hyperlink" Target="#Jun!A1"/><Relationship Id="rId14" Type="http://schemas.openxmlformats.org/officeDocument/2006/relationships/image" Target="../media/image2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Dec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Nov!A1"/><Relationship Id="rId12" Type="http://schemas.openxmlformats.org/officeDocument/2006/relationships/hyperlink" Target="#Jul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Oct!A1"/><Relationship Id="rId11" Type="http://schemas.openxmlformats.org/officeDocument/2006/relationships/hyperlink" Target="#Apr!A1"/><Relationship Id="rId5" Type="http://schemas.openxmlformats.org/officeDocument/2006/relationships/hyperlink" Target="#Sept!A1"/><Relationship Id="rId10" Type="http://schemas.openxmlformats.org/officeDocument/2006/relationships/hyperlink" Target="#May!A1"/><Relationship Id="rId4" Type="http://schemas.openxmlformats.org/officeDocument/2006/relationships/hyperlink" Target="#Aug!A1"/><Relationship Id="rId9" Type="http://schemas.openxmlformats.org/officeDocument/2006/relationships/hyperlink" Target="#Jun!A1"/><Relationship Id="rId14" Type="http://schemas.openxmlformats.org/officeDocument/2006/relationships/image" Target="../media/image2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Dec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Nov!A1"/><Relationship Id="rId12" Type="http://schemas.openxmlformats.org/officeDocument/2006/relationships/hyperlink" Target="#Jul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Oct!A1"/><Relationship Id="rId11" Type="http://schemas.openxmlformats.org/officeDocument/2006/relationships/hyperlink" Target="#Apr!A1"/><Relationship Id="rId5" Type="http://schemas.openxmlformats.org/officeDocument/2006/relationships/hyperlink" Target="#Sept!A1"/><Relationship Id="rId10" Type="http://schemas.openxmlformats.org/officeDocument/2006/relationships/hyperlink" Target="#May!A1"/><Relationship Id="rId4" Type="http://schemas.openxmlformats.org/officeDocument/2006/relationships/hyperlink" Target="#Aug!A1"/><Relationship Id="rId9" Type="http://schemas.openxmlformats.org/officeDocument/2006/relationships/hyperlink" Target="#Jun!A1"/><Relationship Id="rId14" Type="http://schemas.openxmlformats.org/officeDocument/2006/relationships/image" Target="../media/image2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Dec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Nov!A1"/><Relationship Id="rId12" Type="http://schemas.openxmlformats.org/officeDocument/2006/relationships/hyperlink" Target="#Jul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Oct!A1"/><Relationship Id="rId11" Type="http://schemas.openxmlformats.org/officeDocument/2006/relationships/hyperlink" Target="#Apr!A1"/><Relationship Id="rId5" Type="http://schemas.openxmlformats.org/officeDocument/2006/relationships/hyperlink" Target="#Sept!A1"/><Relationship Id="rId10" Type="http://schemas.openxmlformats.org/officeDocument/2006/relationships/hyperlink" Target="#May!A1"/><Relationship Id="rId4" Type="http://schemas.openxmlformats.org/officeDocument/2006/relationships/hyperlink" Target="#Aug!A1"/><Relationship Id="rId9" Type="http://schemas.openxmlformats.org/officeDocument/2006/relationships/hyperlink" Target="#Jun!A1"/><Relationship Id="rId14" Type="http://schemas.openxmlformats.org/officeDocument/2006/relationships/image" Target="../media/image2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Dec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Nov!A1"/><Relationship Id="rId12" Type="http://schemas.openxmlformats.org/officeDocument/2006/relationships/hyperlink" Target="#Jul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Oct!A1"/><Relationship Id="rId11" Type="http://schemas.openxmlformats.org/officeDocument/2006/relationships/hyperlink" Target="#Apr!A1"/><Relationship Id="rId5" Type="http://schemas.openxmlformats.org/officeDocument/2006/relationships/hyperlink" Target="#Sept!A1"/><Relationship Id="rId10" Type="http://schemas.openxmlformats.org/officeDocument/2006/relationships/hyperlink" Target="#May!A1"/><Relationship Id="rId4" Type="http://schemas.openxmlformats.org/officeDocument/2006/relationships/hyperlink" Target="#Aug!A1"/><Relationship Id="rId9" Type="http://schemas.openxmlformats.org/officeDocument/2006/relationships/hyperlink" Target="#Jun!A1"/><Relationship Id="rId14" Type="http://schemas.openxmlformats.org/officeDocument/2006/relationships/image" Target="../media/image2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Dec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Nov!A1"/><Relationship Id="rId12" Type="http://schemas.openxmlformats.org/officeDocument/2006/relationships/hyperlink" Target="#Jul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Oct!A1"/><Relationship Id="rId11" Type="http://schemas.openxmlformats.org/officeDocument/2006/relationships/hyperlink" Target="#Apr!A1"/><Relationship Id="rId5" Type="http://schemas.openxmlformats.org/officeDocument/2006/relationships/hyperlink" Target="#Sept!A1"/><Relationship Id="rId10" Type="http://schemas.openxmlformats.org/officeDocument/2006/relationships/hyperlink" Target="#May!A1"/><Relationship Id="rId4" Type="http://schemas.openxmlformats.org/officeDocument/2006/relationships/hyperlink" Target="#Aug!A1"/><Relationship Id="rId9" Type="http://schemas.openxmlformats.org/officeDocument/2006/relationships/hyperlink" Target="#Jun!A1"/><Relationship Id="rId14" Type="http://schemas.openxmlformats.org/officeDocument/2006/relationships/image" Target="../media/image2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Dec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Nov!A1"/><Relationship Id="rId12" Type="http://schemas.openxmlformats.org/officeDocument/2006/relationships/hyperlink" Target="#Jul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Oct!A1"/><Relationship Id="rId11" Type="http://schemas.openxmlformats.org/officeDocument/2006/relationships/hyperlink" Target="#Apr!A1"/><Relationship Id="rId5" Type="http://schemas.openxmlformats.org/officeDocument/2006/relationships/hyperlink" Target="#Sept!A1"/><Relationship Id="rId10" Type="http://schemas.openxmlformats.org/officeDocument/2006/relationships/hyperlink" Target="#May!A1"/><Relationship Id="rId4" Type="http://schemas.openxmlformats.org/officeDocument/2006/relationships/hyperlink" Target="#Aug!A1"/><Relationship Id="rId9" Type="http://schemas.openxmlformats.org/officeDocument/2006/relationships/hyperlink" Target="#Jun!A1"/><Relationship Id="rId14" Type="http://schemas.openxmlformats.org/officeDocument/2006/relationships/image" Target="../media/image2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Dec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Nov!A1"/><Relationship Id="rId12" Type="http://schemas.openxmlformats.org/officeDocument/2006/relationships/hyperlink" Target="#Jul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Oct!A1"/><Relationship Id="rId11" Type="http://schemas.openxmlformats.org/officeDocument/2006/relationships/hyperlink" Target="#Apr!A1"/><Relationship Id="rId5" Type="http://schemas.openxmlformats.org/officeDocument/2006/relationships/hyperlink" Target="#Sept!A1"/><Relationship Id="rId10" Type="http://schemas.openxmlformats.org/officeDocument/2006/relationships/hyperlink" Target="#May!A1"/><Relationship Id="rId4" Type="http://schemas.openxmlformats.org/officeDocument/2006/relationships/hyperlink" Target="#Aug!A1"/><Relationship Id="rId9" Type="http://schemas.openxmlformats.org/officeDocument/2006/relationships/hyperlink" Target="#Jun!A1"/><Relationship Id="rId14" Type="http://schemas.openxmlformats.org/officeDocument/2006/relationships/image" Target="../media/image2.sv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Dec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Nov!A1"/><Relationship Id="rId12" Type="http://schemas.openxmlformats.org/officeDocument/2006/relationships/hyperlink" Target="#Jul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Oct!A1"/><Relationship Id="rId11" Type="http://schemas.openxmlformats.org/officeDocument/2006/relationships/hyperlink" Target="#Apr!A1"/><Relationship Id="rId5" Type="http://schemas.openxmlformats.org/officeDocument/2006/relationships/hyperlink" Target="#Sept!A1"/><Relationship Id="rId10" Type="http://schemas.openxmlformats.org/officeDocument/2006/relationships/hyperlink" Target="#May!A1"/><Relationship Id="rId4" Type="http://schemas.openxmlformats.org/officeDocument/2006/relationships/hyperlink" Target="#Aug!A1"/><Relationship Id="rId9" Type="http://schemas.openxmlformats.org/officeDocument/2006/relationships/hyperlink" Target="#Jun!A1"/><Relationship Id="rId14" Type="http://schemas.openxmlformats.org/officeDocument/2006/relationships/image" Target="../media/image2.sv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Dec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Nov!A1"/><Relationship Id="rId12" Type="http://schemas.openxmlformats.org/officeDocument/2006/relationships/hyperlink" Target="#Jul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Oct!A1"/><Relationship Id="rId11" Type="http://schemas.openxmlformats.org/officeDocument/2006/relationships/hyperlink" Target="#Apr!A1"/><Relationship Id="rId5" Type="http://schemas.openxmlformats.org/officeDocument/2006/relationships/hyperlink" Target="#Sept!A1"/><Relationship Id="rId10" Type="http://schemas.openxmlformats.org/officeDocument/2006/relationships/hyperlink" Target="#May!A1"/><Relationship Id="rId4" Type="http://schemas.openxmlformats.org/officeDocument/2006/relationships/hyperlink" Target="#Aug!A1"/><Relationship Id="rId9" Type="http://schemas.openxmlformats.org/officeDocument/2006/relationships/hyperlink" Target="#Jun!A1"/><Relationship Id="rId14" Type="http://schemas.openxmlformats.org/officeDocument/2006/relationships/image" Target="../media/image2.sv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Dec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Nov!A1"/><Relationship Id="rId12" Type="http://schemas.openxmlformats.org/officeDocument/2006/relationships/hyperlink" Target="#Jul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Oct!A1"/><Relationship Id="rId11" Type="http://schemas.openxmlformats.org/officeDocument/2006/relationships/hyperlink" Target="#Apr!A1"/><Relationship Id="rId5" Type="http://schemas.openxmlformats.org/officeDocument/2006/relationships/hyperlink" Target="#Sept!A1"/><Relationship Id="rId10" Type="http://schemas.openxmlformats.org/officeDocument/2006/relationships/hyperlink" Target="#May!A1"/><Relationship Id="rId4" Type="http://schemas.openxmlformats.org/officeDocument/2006/relationships/hyperlink" Target="#Aug!A1"/><Relationship Id="rId9" Type="http://schemas.openxmlformats.org/officeDocument/2006/relationships/hyperlink" Target="#Jun!A1"/><Relationship Id="rId14" Type="http://schemas.openxmlformats.org/officeDocument/2006/relationships/image" Target="../media/image2.sv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Dec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Nov!A1"/><Relationship Id="rId12" Type="http://schemas.openxmlformats.org/officeDocument/2006/relationships/hyperlink" Target="#Jul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Oct!A1"/><Relationship Id="rId11" Type="http://schemas.openxmlformats.org/officeDocument/2006/relationships/hyperlink" Target="#Apr!A1"/><Relationship Id="rId5" Type="http://schemas.openxmlformats.org/officeDocument/2006/relationships/hyperlink" Target="#Sept!A1"/><Relationship Id="rId10" Type="http://schemas.openxmlformats.org/officeDocument/2006/relationships/hyperlink" Target="#May!A1"/><Relationship Id="rId4" Type="http://schemas.openxmlformats.org/officeDocument/2006/relationships/hyperlink" Target="#Aug!A1"/><Relationship Id="rId9" Type="http://schemas.openxmlformats.org/officeDocument/2006/relationships/hyperlink" Target="#Jun!A1"/><Relationship Id="rId1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21771</xdr:colOff>
      <xdr:row>0</xdr:row>
      <xdr:rowOff>10887</xdr:rowOff>
    </xdr:from>
    <xdr:to>
      <xdr:col>42</xdr:col>
      <xdr:colOff>31750</xdr:colOff>
      <xdr:row>3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8603A93-9B9C-F70A-80CD-CB4E53FFD97F}"/>
            </a:ext>
          </a:extLst>
        </xdr:cNvPr>
        <xdr:cNvSpPr/>
      </xdr:nvSpPr>
      <xdr:spPr>
        <a:xfrm>
          <a:off x="1863271" y="10887"/>
          <a:ext cx="16721062" cy="528863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21771</xdr:colOff>
      <xdr:row>41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1E4F3FE-AA58-F707-0929-D23CBCA69812}"/>
            </a:ext>
          </a:extLst>
        </xdr:cNvPr>
        <xdr:cNvSpPr/>
      </xdr:nvSpPr>
      <xdr:spPr>
        <a:xfrm>
          <a:off x="0" y="0"/>
          <a:ext cx="1850571" cy="7587343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243567</xdr:colOff>
      <xdr:row>2</xdr:row>
      <xdr:rowOff>125865</xdr:rowOff>
    </xdr:from>
    <xdr:to>
      <xdr:col>3</xdr:col>
      <xdr:colOff>515710</xdr:colOff>
      <xdr:row>5</xdr:row>
      <xdr:rowOff>93207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3A39D6-25E6-3775-24CF-0BD749FBB937}"/>
            </a:ext>
          </a:extLst>
        </xdr:cNvPr>
        <xdr:cNvSpPr/>
      </xdr:nvSpPr>
      <xdr:spPr>
        <a:xfrm>
          <a:off x="243567" y="483053"/>
          <a:ext cx="2093799" cy="503123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January</a:t>
          </a:r>
        </a:p>
      </xdr:txBody>
    </xdr:sp>
    <xdr:clientData/>
  </xdr:twoCellAnchor>
  <xdr:twoCellAnchor>
    <xdr:from>
      <xdr:col>0</xdr:col>
      <xdr:colOff>0</xdr:colOff>
      <xdr:row>6</xdr:row>
      <xdr:rowOff>67355</xdr:rowOff>
    </xdr:from>
    <xdr:to>
      <xdr:col>3</xdr:col>
      <xdr:colOff>272143</xdr:colOff>
      <xdr:row>8</xdr:row>
      <xdr:rowOff>95932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F780F9-AB84-4B2D-AECE-D70E8AD21B94}"/>
            </a:ext>
          </a:extLst>
        </xdr:cNvPr>
        <xdr:cNvSpPr/>
      </xdr:nvSpPr>
      <xdr:spPr>
        <a:xfrm>
          <a:off x="0" y="1138918"/>
          <a:ext cx="2093799" cy="433389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February</a:t>
          </a:r>
        </a:p>
      </xdr:txBody>
    </xdr:sp>
    <xdr:clientData/>
  </xdr:twoCellAnchor>
  <xdr:twoCellAnchor>
    <xdr:from>
      <xdr:col>0</xdr:col>
      <xdr:colOff>0</xdr:colOff>
      <xdr:row>9</xdr:row>
      <xdr:rowOff>52389</xdr:rowOff>
    </xdr:from>
    <xdr:to>
      <xdr:col>3</xdr:col>
      <xdr:colOff>272143</xdr:colOff>
      <xdr:row>11</xdr:row>
      <xdr:rowOff>128589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C39018D-0EDA-4112-BF79-1964DFACBA67}"/>
            </a:ext>
          </a:extLst>
        </xdr:cNvPr>
        <xdr:cNvSpPr/>
      </xdr:nvSpPr>
      <xdr:spPr>
        <a:xfrm>
          <a:off x="0" y="1731170"/>
          <a:ext cx="2093799" cy="481013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March</a:t>
          </a:r>
        </a:p>
      </xdr:txBody>
    </xdr:sp>
    <xdr:clientData/>
  </xdr:twoCellAnchor>
  <xdr:twoCellAnchor>
    <xdr:from>
      <xdr:col>0</xdr:col>
      <xdr:colOff>0</xdr:colOff>
      <xdr:row>25</xdr:row>
      <xdr:rowOff>8849</xdr:rowOff>
    </xdr:from>
    <xdr:to>
      <xdr:col>3</xdr:col>
      <xdr:colOff>272143</xdr:colOff>
      <xdr:row>27</xdr:row>
      <xdr:rowOff>85048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F8B80D0-9C49-447C-917B-1A3F2B727464}"/>
            </a:ext>
          </a:extLst>
        </xdr:cNvPr>
        <xdr:cNvSpPr/>
      </xdr:nvSpPr>
      <xdr:spPr>
        <a:xfrm>
          <a:off x="0" y="4926130"/>
          <a:ext cx="2093799" cy="481012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August</a:t>
          </a:r>
        </a:p>
      </xdr:txBody>
    </xdr:sp>
    <xdr:clientData/>
  </xdr:twoCellAnchor>
  <xdr:twoCellAnchor>
    <xdr:from>
      <xdr:col>0</xdr:col>
      <xdr:colOff>0</xdr:colOff>
      <xdr:row>28</xdr:row>
      <xdr:rowOff>41504</xdr:rowOff>
    </xdr:from>
    <xdr:to>
      <xdr:col>3</xdr:col>
      <xdr:colOff>272143</xdr:colOff>
      <xdr:row>30</xdr:row>
      <xdr:rowOff>165329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1650FC4-9324-4667-9829-3CAD7CB77BC4}"/>
            </a:ext>
          </a:extLst>
        </xdr:cNvPr>
        <xdr:cNvSpPr/>
      </xdr:nvSpPr>
      <xdr:spPr>
        <a:xfrm>
          <a:off x="0" y="5566004"/>
          <a:ext cx="2093799" cy="481013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September</a:t>
          </a:r>
        </a:p>
      </xdr:txBody>
    </xdr:sp>
    <xdr:clientData/>
  </xdr:twoCellAnchor>
  <xdr:twoCellAnchor>
    <xdr:from>
      <xdr:col>0</xdr:col>
      <xdr:colOff>0</xdr:colOff>
      <xdr:row>31</xdr:row>
      <xdr:rowOff>110900</xdr:rowOff>
    </xdr:from>
    <xdr:to>
      <xdr:col>3</xdr:col>
      <xdr:colOff>272143</xdr:colOff>
      <xdr:row>34</xdr:row>
      <xdr:rowOff>8506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08E85A8-9E38-48F3-B5CC-7C443F7D2A26}"/>
            </a:ext>
          </a:extLst>
        </xdr:cNvPr>
        <xdr:cNvSpPr/>
      </xdr:nvSpPr>
      <xdr:spPr>
        <a:xfrm>
          <a:off x="0" y="6171181"/>
          <a:ext cx="2093799" cy="433388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October</a:t>
          </a:r>
        </a:p>
      </xdr:txBody>
    </xdr:sp>
    <xdr:clientData/>
  </xdr:twoCellAnchor>
  <xdr:twoCellAnchor>
    <xdr:from>
      <xdr:col>0</xdr:col>
      <xdr:colOff>0</xdr:colOff>
      <xdr:row>34</xdr:row>
      <xdr:rowOff>132671</xdr:rowOff>
    </xdr:from>
    <xdr:to>
      <xdr:col>3</xdr:col>
      <xdr:colOff>272143</xdr:colOff>
      <xdr:row>37</xdr:row>
      <xdr:rowOff>23815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51CAABE-448F-43B9-92F3-EC41CEAA4976}"/>
            </a:ext>
          </a:extLst>
        </xdr:cNvPr>
        <xdr:cNvSpPr/>
      </xdr:nvSpPr>
      <xdr:spPr>
        <a:xfrm>
          <a:off x="0" y="6728734"/>
          <a:ext cx="2093799" cy="42692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November</a:t>
          </a:r>
        </a:p>
      </xdr:txBody>
    </xdr:sp>
    <xdr:clientData/>
  </xdr:twoCellAnchor>
  <xdr:twoCellAnchor>
    <xdr:from>
      <xdr:col>0</xdr:col>
      <xdr:colOff>0</xdr:colOff>
      <xdr:row>37</xdr:row>
      <xdr:rowOff>154442</xdr:rowOff>
    </xdr:from>
    <xdr:to>
      <xdr:col>3</xdr:col>
      <xdr:colOff>272143</xdr:colOff>
      <xdr:row>40</xdr:row>
      <xdr:rowOff>45587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46ED23A-115E-4F47-93D5-1AFA19CE38EE}"/>
            </a:ext>
          </a:extLst>
        </xdr:cNvPr>
        <xdr:cNvSpPr/>
      </xdr:nvSpPr>
      <xdr:spPr>
        <a:xfrm>
          <a:off x="0" y="7286286"/>
          <a:ext cx="2093799" cy="426926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December</a:t>
          </a:r>
        </a:p>
      </xdr:txBody>
    </xdr:sp>
    <xdr:clientData/>
  </xdr:twoCellAnchor>
  <xdr:twoCellAnchor>
    <xdr:from>
      <xdr:col>0</xdr:col>
      <xdr:colOff>0</xdr:colOff>
      <xdr:row>18</xdr:row>
      <xdr:rowOff>128590</xdr:rowOff>
    </xdr:from>
    <xdr:to>
      <xdr:col>3</xdr:col>
      <xdr:colOff>272143</xdr:colOff>
      <xdr:row>21</xdr:row>
      <xdr:rowOff>19734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B7A9CDE-3835-477D-A8FA-CA7399CEEC7C}"/>
            </a:ext>
          </a:extLst>
        </xdr:cNvPr>
        <xdr:cNvSpPr/>
      </xdr:nvSpPr>
      <xdr:spPr>
        <a:xfrm>
          <a:off x="0" y="3629028"/>
          <a:ext cx="2093799" cy="498362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June</a:t>
          </a:r>
        </a:p>
      </xdr:txBody>
    </xdr:sp>
    <xdr:clientData/>
  </xdr:twoCellAnchor>
  <xdr:twoCellAnchor>
    <xdr:from>
      <xdr:col>0</xdr:col>
      <xdr:colOff>0</xdr:colOff>
      <xdr:row>15</xdr:row>
      <xdr:rowOff>95932</xdr:rowOff>
    </xdr:from>
    <xdr:to>
      <xdr:col>3</xdr:col>
      <xdr:colOff>272143</xdr:colOff>
      <xdr:row>17</xdr:row>
      <xdr:rowOff>189483</xdr:rowOff>
    </xdr:to>
    <xdr:sp macro="" textlink="">
      <xdr:nvSpPr>
        <xdr:cNvPr id="12" name="Rectangle: Rounded Corner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90FFCBB-58D9-4A80-BBAD-4CE62242B5CF}"/>
            </a:ext>
          </a:extLst>
        </xdr:cNvPr>
        <xdr:cNvSpPr/>
      </xdr:nvSpPr>
      <xdr:spPr>
        <a:xfrm>
          <a:off x="0" y="2989151"/>
          <a:ext cx="2093799" cy="498363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May</a:t>
          </a:r>
        </a:p>
      </xdr:txBody>
    </xdr:sp>
    <xdr:clientData/>
  </xdr:twoCellAnchor>
  <xdr:twoCellAnchor>
    <xdr:from>
      <xdr:col>0</xdr:col>
      <xdr:colOff>0</xdr:colOff>
      <xdr:row>12</xdr:row>
      <xdr:rowOff>74163</xdr:rowOff>
    </xdr:from>
    <xdr:to>
      <xdr:col>3</xdr:col>
      <xdr:colOff>272143</xdr:colOff>
      <xdr:row>14</xdr:row>
      <xdr:rowOff>150362</xdr:rowOff>
    </xdr:to>
    <xdr:sp macro="" textlink="">
      <xdr:nvSpPr>
        <xdr:cNvPr id="13" name="Rectangle: Rounded Corners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C3B2A88-E305-4464-8A49-2568CE43DA3A}"/>
            </a:ext>
          </a:extLst>
        </xdr:cNvPr>
        <xdr:cNvSpPr/>
      </xdr:nvSpPr>
      <xdr:spPr>
        <a:xfrm>
          <a:off x="0" y="2360163"/>
          <a:ext cx="2093799" cy="481012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April</a:t>
          </a:r>
        </a:p>
      </xdr:txBody>
    </xdr:sp>
    <xdr:clientData/>
  </xdr:twoCellAnchor>
  <xdr:twoCellAnchor>
    <xdr:from>
      <xdr:col>0</xdr:col>
      <xdr:colOff>0</xdr:colOff>
      <xdr:row>21</xdr:row>
      <xdr:rowOff>178596</xdr:rowOff>
    </xdr:from>
    <xdr:to>
      <xdr:col>3</xdr:col>
      <xdr:colOff>272143</xdr:colOff>
      <xdr:row>24</xdr:row>
      <xdr:rowOff>52391</xdr:rowOff>
    </xdr:to>
    <xdr:sp macro="" textlink="">
      <xdr:nvSpPr>
        <xdr:cNvPr id="14" name="Rectangle: Rounded Corners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4384572-5D95-4F83-BAE2-77AB806FA5AB}"/>
            </a:ext>
          </a:extLst>
        </xdr:cNvPr>
        <xdr:cNvSpPr/>
      </xdr:nvSpPr>
      <xdr:spPr>
        <a:xfrm>
          <a:off x="0" y="4286252"/>
          <a:ext cx="2093799" cy="481014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July</a:t>
          </a:r>
        </a:p>
      </xdr:txBody>
    </xdr:sp>
    <xdr:clientData/>
  </xdr:twoCellAnchor>
  <xdr:twoCellAnchor>
    <xdr:from>
      <xdr:col>42</xdr:col>
      <xdr:colOff>599440</xdr:colOff>
      <xdr:row>0</xdr:row>
      <xdr:rowOff>20320</xdr:rowOff>
    </xdr:from>
    <xdr:to>
      <xdr:col>57</xdr:col>
      <xdr:colOff>0</xdr:colOff>
      <xdr:row>3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3F55174-A3B7-81D4-ED54-E2F944864916}"/>
            </a:ext>
          </a:extLst>
        </xdr:cNvPr>
        <xdr:cNvSpPr/>
      </xdr:nvSpPr>
      <xdr:spPr>
        <a:xfrm>
          <a:off x="19202400" y="20320"/>
          <a:ext cx="9245600" cy="528320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3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Monthly Report</a:t>
          </a:r>
        </a:p>
      </xdr:txBody>
    </xdr:sp>
    <xdr:clientData/>
  </xdr:twoCellAnchor>
  <xdr:twoCellAnchor>
    <xdr:from>
      <xdr:col>4</xdr:col>
      <xdr:colOff>441434</xdr:colOff>
      <xdr:row>0</xdr:row>
      <xdr:rowOff>105103</xdr:rowOff>
    </xdr:from>
    <xdr:to>
      <xdr:col>5</xdr:col>
      <xdr:colOff>520262</xdr:colOff>
      <xdr:row>1</xdr:row>
      <xdr:rowOff>152400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338A341-E0BA-695E-A875-33C45F22E188}"/>
            </a:ext>
          </a:extLst>
        </xdr:cNvPr>
        <xdr:cNvSpPr txBox="1"/>
      </xdr:nvSpPr>
      <xdr:spPr>
        <a:xfrm>
          <a:off x="2879834" y="105103"/>
          <a:ext cx="688428" cy="22827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5</xdr:col>
      <xdr:colOff>525518</xdr:colOff>
      <xdr:row>0</xdr:row>
      <xdr:rowOff>105102</xdr:rowOff>
    </xdr:from>
    <xdr:to>
      <xdr:col>7</xdr:col>
      <xdr:colOff>178676</xdr:colOff>
      <xdr:row>1</xdr:row>
      <xdr:rowOff>147144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D313106C-AC88-2399-3EB1-4A823AA95D80}"/>
            </a:ext>
          </a:extLst>
        </xdr:cNvPr>
        <xdr:cNvSpPr txBox="1"/>
      </xdr:nvSpPr>
      <xdr:spPr>
        <a:xfrm>
          <a:off x="3573518" y="105102"/>
          <a:ext cx="924910" cy="2259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48BF154-D853-4C06-8A77-CF8B6B6C4045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01-Jan-2025</a:t>
          </a:fld>
          <a:endParaRPr lang="en-IN" sz="1100" b="1"/>
        </a:p>
      </xdr:txBody>
    </xdr:sp>
    <xdr:clientData/>
  </xdr:twoCellAnchor>
  <xdr:twoCellAnchor>
    <xdr:from>
      <xdr:col>7</xdr:col>
      <xdr:colOff>289034</xdr:colOff>
      <xdr:row>0</xdr:row>
      <xdr:rowOff>105102</xdr:rowOff>
    </xdr:from>
    <xdr:to>
      <xdr:col>7</xdr:col>
      <xdr:colOff>977462</xdr:colOff>
      <xdr:row>1</xdr:row>
      <xdr:rowOff>152400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0CEE2A9-6401-4FCE-8584-03C1B8063F8C}"/>
            </a:ext>
          </a:extLst>
        </xdr:cNvPr>
        <xdr:cNvSpPr txBox="1"/>
      </xdr:nvSpPr>
      <xdr:spPr>
        <a:xfrm>
          <a:off x="4608622" y="105102"/>
          <a:ext cx="688428" cy="22827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982718</xdr:colOff>
      <xdr:row>0</xdr:row>
      <xdr:rowOff>105102</xdr:rowOff>
    </xdr:from>
    <xdr:to>
      <xdr:col>8</xdr:col>
      <xdr:colOff>888125</xdr:colOff>
      <xdr:row>1</xdr:row>
      <xdr:rowOff>152400</xdr:rowOff>
    </xdr:to>
    <xdr:sp macro="" textlink="$H$6">
      <xdr:nvSpPr>
        <xdr:cNvPr id="20" name="TextBox 19">
          <a:extLst>
            <a:ext uri="{FF2B5EF4-FFF2-40B4-BE49-F238E27FC236}">
              <a16:creationId xmlns:a16="http://schemas.microsoft.com/office/drawing/2014/main" id="{DF6AB634-43DC-44B4-ADF0-38958A8B6279}"/>
            </a:ext>
          </a:extLst>
        </xdr:cNvPr>
        <xdr:cNvSpPr txBox="1"/>
      </xdr:nvSpPr>
      <xdr:spPr>
        <a:xfrm>
          <a:off x="5302306" y="105102"/>
          <a:ext cx="924582" cy="2282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C149F28-0450-43B5-AA89-70F407C47701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31-Jan-2025</a:t>
          </a:fld>
          <a:endParaRPr lang="en-IN" sz="1100" b="1"/>
        </a:p>
      </xdr:txBody>
    </xdr:sp>
    <xdr:clientData/>
  </xdr:twoCellAnchor>
  <xdr:twoCellAnchor>
    <xdr:from>
      <xdr:col>8</xdr:col>
      <xdr:colOff>1381124</xdr:colOff>
      <xdr:row>0</xdr:row>
      <xdr:rowOff>76199</xdr:rowOff>
    </xdr:from>
    <xdr:to>
      <xdr:col>23</xdr:col>
      <xdr:colOff>99060</xdr:colOff>
      <xdr:row>2</xdr:row>
      <xdr:rowOff>83342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20B92E9-474F-3124-A3BA-554E1AFCAC98}"/>
            </a:ext>
          </a:extLst>
        </xdr:cNvPr>
        <xdr:cNvSpPr txBox="1"/>
      </xdr:nvSpPr>
      <xdr:spPr>
        <a:xfrm>
          <a:off x="6722744" y="76199"/>
          <a:ext cx="5225416" cy="372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655007</xdr:colOff>
      <xdr:row>0</xdr:row>
      <xdr:rowOff>105268</xdr:rowOff>
    </xdr:from>
    <xdr:to>
      <xdr:col>18</xdr:col>
      <xdr:colOff>140084</xdr:colOff>
      <xdr:row>2</xdr:row>
      <xdr:rowOff>52879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90EDECF-FD5F-F0F0-0BF2-1EA5E80A0627}"/>
            </a:ext>
          </a:extLst>
        </xdr:cNvPr>
        <xdr:cNvSpPr txBox="1"/>
      </xdr:nvSpPr>
      <xdr:spPr>
        <a:xfrm>
          <a:off x="7381628" y="105268"/>
          <a:ext cx="2953490" cy="3154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>
              <a:latin typeface="Times New Roman" panose="02020603050405020304" pitchFamily="18" charset="0"/>
              <a:cs typeface="Times New Roman" panose="02020603050405020304" pitchFamily="18" charset="0"/>
            </a:rPr>
            <a:t>Dashboard For</a:t>
          </a:r>
          <a:r>
            <a:rPr lang="en-IN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 the Month of</a:t>
          </a:r>
          <a:r>
            <a:rPr lang="en-IN" sz="18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 editAs="oneCell">
    <xdr:from>
      <xdr:col>9</xdr:col>
      <xdr:colOff>95805</xdr:colOff>
      <xdr:row>0</xdr:row>
      <xdr:rowOff>69126</xdr:rowOff>
    </xdr:from>
    <xdr:to>
      <xdr:col>9</xdr:col>
      <xdr:colOff>483475</xdr:colOff>
      <xdr:row>2</xdr:row>
      <xdr:rowOff>81857</xdr:rowOff>
    </xdr:to>
    <xdr:pic>
      <xdr:nvPicPr>
        <xdr:cNvPr id="24" name="Graphic 23" descr="Magnifying glass with solid fill">
          <a:extLst>
            <a:ext uri="{FF2B5EF4-FFF2-40B4-BE49-F238E27FC236}">
              <a16:creationId xmlns:a16="http://schemas.microsoft.com/office/drawing/2014/main" id="{ED5D5B1D-89E0-C98C-62ED-9D2CE3023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822426" y="69126"/>
          <a:ext cx="387670" cy="380593"/>
        </a:xfrm>
        <a:prstGeom prst="rect">
          <a:avLst/>
        </a:prstGeom>
      </xdr:spPr>
    </xdr:pic>
    <xdr:clientData/>
  </xdr:twoCellAnchor>
  <xdr:twoCellAnchor>
    <xdr:from>
      <xdr:col>18</xdr:col>
      <xdr:colOff>205740</xdr:colOff>
      <xdr:row>0</xdr:row>
      <xdr:rowOff>136634</xdr:rowOff>
    </xdr:from>
    <xdr:to>
      <xdr:col>23</xdr:col>
      <xdr:colOff>30479</xdr:colOff>
      <xdr:row>2</xdr:row>
      <xdr:rowOff>21020</xdr:rowOff>
    </xdr:to>
    <xdr:sp macro="" textlink="$I$5">
      <xdr:nvSpPr>
        <xdr:cNvPr id="25" name="TextBox 24">
          <a:extLst>
            <a:ext uri="{FF2B5EF4-FFF2-40B4-BE49-F238E27FC236}">
              <a16:creationId xmlns:a16="http://schemas.microsoft.com/office/drawing/2014/main" id="{D389FAD3-AE2A-DEB4-D4BF-99DB5E127385}"/>
            </a:ext>
          </a:extLst>
        </xdr:cNvPr>
        <xdr:cNvSpPr txBox="1"/>
      </xdr:nvSpPr>
      <xdr:spPr>
        <a:xfrm>
          <a:off x="10408920" y="136634"/>
          <a:ext cx="1470659" cy="25014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0CE7C42-3221-4D91-B0E5-69AF3A2979D1}" type="TxLink">
            <a:rPr lang="en-US" sz="1800" b="1" i="0" u="none" strike="noStrike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January</a:t>
          </a:fld>
          <a:endParaRPr lang="en-IN" sz="18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332400</xdr:colOff>
      <xdr:row>0</xdr:row>
      <xdr:rowOff>100435</xdr:rowOff>
    </xdr:from>
    <xdr:to>
      <xdr:col>25</xdr:col>
      <xdr:colOff>309626</xdr:colOff>
      <xdr:row>2</xdr:row>
      <xdr:rowOff>20878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770A7FB-0BB2-B202-F71B-35A1F423DB90}"/>
            </a:ext>
          </a:extLst>
        </xdr:cNvPr>
        <xdr:cNvSpPr txBox="1"/>
      </xdr:nvSpPr>
      <xdr:spPr>
        <a:xfrm>
          <a:off x="12529584" y="100435"/>
          <a:ext cx="371185" cy="283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🟢</a:t>
          </a:r>
          <a:endParaRPr lang="en-IN" sz="1100"/>
        </a:p>
      </xdr:txBody>
    </xdr:sp>
    <xdr:clientData/>
  </xdr:twoCellAnchor>
  <xdr:twoCellAnchor>
    <xdr:from>
      <xdr:col>25</xdr:col>
      <xdr:colOff>178676</xdr:colOff>
      <xdr:row>0</xdr:row>
      <xdr:rowOff>94593</xdr:rowOff>
    </xdr:from>
    <xdr:to>
      <xdr:col>28</xdr:col>
      <xdr:colOff>89338</xdr:colOff>
      <xdr:row>2</xdr:row>
      <xdr:rowOff>10510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2DB61D97-7A55-7BBA-61C1-77BCFDDDDA78}"/>
            </a:ext>
          </a:extLst>
        </xdr:cNvPr>
        <xdr:cNvSpPr txBox="1"/>
      </xdr:nvSpPr>
      <xdr:spPr>
        <a:xfrm>
          <a:off x="12754304" y="94593"/>
          <a:ext cx="825062" cy="2837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Present</a:t>
          </a:r>
        </a:p>
      </xdr:txBody>
    </xdr:sp>
    <xdr:clientData/>
  </xdr:twoCellAnchor>
  <xdr:twoCellAnchor>
    <xdr:from>
      <xdr:col>29</xdr:col>
      <xdr:colOff>7901</xdr:colOff>
      <xdr:row>0</xdr:row>
      <xdr:rowOff>66223</xdr:rowOff>
    </xdr:from>
    <xdr:to>
      <xdr:col>30</xdr:col>
      <xdr:colOff>72571</xdr:colOff>
      <xdr:row>2</xdr:row>
      <xdr:rowOff>67388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ED07A2E-2D9A-4B14-9E8A-FC307D0A5F32}"/>
            </a:ext>
          </a:extLst>
        </xdr:cNvPr>
        <xdr:cNvSpPr txBox="1"/>
      </xdr:nvSpPr>
      <xdr:spPr>
        <a:xfrm>
          <a:off x="13869044" y="66223"/>
          <a:ext cx="437894" cy="364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aseline="0"/>
            <a:t>🔴</a:t>
          </a:r>
          <a:endParaRPr lang="en-IN" sz="1200"/>
        </a:p>
      </xdr:txBody>
    </xdr:sp>
    <xdr:clientData/>
  </xdr:twoCellAnchor>
  <xdr:twoCellAnchor>
    <xdr:from>
      <xdr:col>29</xdr:col>
      <xdr:colOff>297936</xdr:colOff>
      <xdr:row>0</xdr:row>
      <xdr:rowOff>99777</xdr:rowOff>
    </xdr:from>
    <xdr:to>
      <xdr:col>32</xdr:col>
      <xdr:colOff>11618</xdr:colOff>
      <xdr:row>2</xdr:row>
      <xdr:rowOff>15694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C6463C6-5992-425C-8AB3-B126C66C7D54}"/>
            </a:ext>
          </a:extLst>
        </xdr:cNvPr>
        <xdr:cNvSpPr txBox="1"/>
      </xdr:nvSpPr>
      <xdr:spPr>
        <a:xfrm>
          <a:off x="14159079" y="99777"/>
          <a:ext cx="822988" cy="278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Absent</a:t>
          </a:r>
        </a:p>
      </xdr:txBody>
    </xdr:sp>
    <xdr:clientData/>
  </xdr:twoCellAnchor>
  <xdr:twoCellAnchor>
    <xdr:from>
      <xdr:col>32</xdr:col>
      <xdr:colOff>315812</xdr:colOff>
      <xdr:row>0</xdr:row>
      <xdr:rowOff>83848</xdr:rowOff>
    </xdr:from>
    <xdr:to>
      <xdr:col>34</xdr:col>
      <xdr:colOff>136849</xdr:colOff>
      <xdr:row>2</xdr:row>
      <xdr:rowOff>85013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3F345D61-E8FC-4623-A20A-5BFCC52D3E42}"/>
            </a:ext>
          </a:extLst>
        </xdr:cNvPr>
        <xdr:cNvSpPr txBox="1"/>
      </xdr:nvSpPr>
      <xdr:spPr>
        <a:xfrm>
          <a:off x="15286261" y="83848"/>
          <a:ext cx="437894" cy="364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/>
            <a:t>🟡</a:t>
          </a:r>
          <a:endParaRPr lang="en-IN" sz="1200"/>
        </a:p>
      </xdr:txBody>
    </xdr:sp>
    <xdr:clientData/>
  </xdr:twoCellAnchor>
  <xdr:twoCellAnchor>
    <xdr:from>
      <xdr:col>33</xdr:col>
      <xdr:colOff>175602</xdr:colOff>
      <xdr:row>0</xdr:row>
      <xdr:rowOff>117402</xdr:rowOff>
    </xdr:from>
    <xdr:to>
      <xdr:col>36</xdr:col>
      <xdr:colOff>86263</xdr:colOff>
      <xdr:row>2</xdr:row>
      <xdr:rowOff>33319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0622E40-6495-4B6F-B95B-61623FC35AEB}"/>
            </a:ext>
          </a:extLst>
        </xdr:cNvPr>
        <xdr:cNvSpPr txBox="1"/>
      </xdr:nvSpPr>
      <xdr:spPr>
        <a:xfrm>
          <a:off x="15503724" y="117402"/>
          <a:ext cx="822988" cy="278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Leave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21771</xdr:colOff>
      <xdr:row>0</xdr:row>
      <xdr:rowOff>10887</xdr:rowOff>
    </xdr:from>
    <xdr:to>
      <xdr:col>42</xdr:col>
      <xdr:colOff>31750</xdr:colOff>
      <xdr:row>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7030FCD-08DE-4E94-A3AE-009F9F5089E1}"/>
            </a:ext>
          </a:extLst>
        </xdr:cNvPr>
        <xdr:cNvSpPr/>
      </xdr:nvSpPr>
      <xdr:spPr>
        <a:xfrm>
          <a:off x="1850571" y="10887"/>
          <a:ext cx="16766359" cy="537753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21771</xdr:colOff>
      <xdr:row>41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128559F-6465-4C21-AB4D-CBF775131304}"/>
            </a:ext>
          </a:extLst>
        </xdr:cNvPr>
        <xdr:cNvSpPr/>
      </xdr:nvSpPr>
      <xdr:spPr>
        <a:xfrm>
          <a:off x="0" y="0"/>
          <a:ext cx="1850571" cy="78486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2</xdr:row>
      <xdr:rowOff>125865</xdr:rowOff>
    </xdr:from>
    <xdr:to>
      <xdr:col>3</xdr:col>
      <xdr:colOff>272143</xdr:colOff>
      <xdr:row>5</xdr:row>
      <xdr:rowOff>93207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EB6AA2-BA82-4D64-8797-E097E285278E}"/>
            </a:ext>
          </a:extLst>
        </xdr:cNvPr>
        <xdr:cNvSpPr/>
      </xdr:nvSpPr>
      <xdr:spPr>
        <a:xfrm>
          <a:off x="0" y="501003"/>
          <a:ext cx="2100943" cy="530050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375139</xdr:colOff>
      <xdr:row>6</xdr:row>
      <xdr:rowOff>79078</xdr:rowOff>
    </xdr:from>
    <xdr:to>
      <xdr:col>4</xdr:col>
      <xdr:colOff>37682</xdr:colOff>
      <xdr:row>8</xdr:row>
      <xdr:rowOff>107655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D515FE-6324-4930-9D4B-B49FFEDCE4B2}"/>
            </a:ext>
          </a:extLst>
        </xdr:cNvPr>
        <xdr:cNvSpPr/>
      </xdr:nvSpPr>
      <xdr:spPr>
        <a:xfrm>
          <a:off x="375139" y="1204493"/>
          <a:ext cx="2100943" cy="438885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February</a:t>
          </a:r>
        </a:p>
      </xdr:txBody>
    </xdr:sp>
    <xdr:clientData/>
  </xdr:twoCellAnchor>
  <xdr:twoCellAnchor>
    <xdr:from>
      <xdr:col>0</xdr:col>
      <xdr:colOff>0</xdr:colOff>
      <xdr:row>9</xdr:row>
      <xdr:rowOff>52389</xdr:rowOff>
    </xdr:from>
    <xdr:to>
      <xdr:col>3</xdr:col>
      <xdr:colOff>272143</xdr:colOff>
      <xdr:row>11</xdr:row>
      <xdr:rowOff>128589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4A4FEA-037A-4728-9945-E96BD0767E27}"/>
            </a:ext>
          </a:extLst>
        </xdr:cNvPr>
        <xdr:cNvSpPr/>
      </xdr:nvSpPr>
      <xdr:spPr>
        <a:xfrm>
          <a:off x="0" y="1751649"/>
          <a:ext cx="2100943" cy="472440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March</a:t>
          </a:r>
        </a:p>
      </xdr:txBody>
    </xdr:sp>
    <xdr:clientData/>
  </xdr:twoCellAnchor>
  <xdr:twoCellAnchor>
    <xdr:from>
      <xdr:col>0</xdr:col>
      <xdr:colOff>0</xdr:colOff>
      <xdr:row>25</xdr:row>
      <xdr:rowOff>8849</xdr:rowOff>
    </xdr:from>
    <xdr:to>
      <xdr:col>3</xdr:col>
      <xdr:colOff>272143</xdr:colOff>
      <xdr:row>27</xdr:row>
      <xdr:rowOff>85048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B13C4EE-1B96-4ED0-9C34-440443383698}"/>
            </a:ext>
          </a:extLst>
        </xdr:cNvPr>
        <xdr:cNvSpPr/>
      </xdr:nvSpPr>
      <xdr:spPr>
        <a:xfrm>
          <a:off x="0" y="4878029"/>
          <a:ext cx="2100943" cy="472439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August</a:t>
          </a:r>
        </a:p>
      </xdr:txBody>
    </xdr:sp>
    <xdr:clientData/>
  </xdr:twoCellAnchor>
  <xdr:twoCellAnchor>
    <xdr:from>
      <xdr:col>0</xdr:col>
      <xdr:colOff>0</xdr:colOff>
      <xdr:row>28</xdr:row>
      <xdr:rowOff>41504</xdr:rowOff>
    </xdr:from>
    <xdr:to>
      <xdr:col>3</xdr:col>
      <xdr:colOff>272143</xdr:colOff>
      <xdr:row>30</xdr:row>
      <xdr:rowOff>165329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4200214-D998-47E5-BC89-A179C58B3DDB}"/>
            </a:ext>
          </a:extLst>
        </xdr:cNvPr>
        <xdr:cNvSpPr/>
      </xdr:nvSpPr>
      <xdr:spPr>
        <a:xfrm>
          <a:off x="0" y="5512664"/>
          <a:ext cx="2100943" cy="48958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September</a:t>
          </a:r>
        </a:p>
      </xdr:txBody>
    </xdr:sp>
    <xdr:clientData/>
  </xdr:twoCellAnchor>
  <xdr:twoCellAnchor>
    <xdr:from>
      <xdr:col>0</xdr:col>
      <xdr:colOff>0</xdr:colOff>
      <xdr:row>31</xdr:row>
      <xdr:rowOff>110900</xdr:rowOff>
    </xdr:from>
    <xdr:to>
      <xdr:col>3</xdr:col>
      <xdr:colOff>272143</xdr:colOff>
      <xdr:row>34</xdr:row>
      <xdr:rowOff>8506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0A61207-6A8C-4F32-A9E2-86A0688BFDBD}"/>
            </a:ext>
          </a:extLst>
        </xdr:cNvPr>
        <xdr:cNvSpPr/>
      </xdr:nvSpPr>
      <xdr:spPr>
        <a:xfrm>
          <a:off x="0" y="6130700"/>
          <a:ext cx="2100943" cy="446246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October</a:t>
          </a:r>
        </a:p>
      </xdr:txBody>
    </xdr:sp>
    <xdr:clientData/>
  </xdr:twoCellAnchor>
  <xdr:twoCellAnchor>
    <xdr:from>
      <xdr:col>0</xdr:col>
      <xdr:colOff>0</xdr:colOff>
      <xdr:row>34</xdr:row>
      <xdr:rowOff>132671</xdr:rowOff>
    </xdr:from>
    <xdr:to>
      <xdr:col>3</xdr:col>
      <xdr:colOff>272143</xdr:colOff>
      <xdr:row>37</xdr:row>
      <xdr:rowOff>23815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23A2193-5984-452B-8234-EFA17E6ED77F}"/>
            </a:ext>
          </a:extLst>
        </xdr:cNvPr>
        <xdr:cNvSpPr/>
      </xdr:nvSpPr>
      <xdr:spPr>
        <a:xfrm>
          <a:off x="0" y="6701111"/>
          <a:ext cx="2100943" cy="439784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November</a:t>
          </a:r>
        </a:p>
      </xdr:txBody>
    </xdr:sp>
    <xdr:clientData/>
  </xdr:twoCellAnchor>
  <xdr:twoCellAnchor>
    <xdr:from>
      <xdr:col>0</xdr:col>
      <xdr:colOff>0</xdr:colOff>
      <xdr:row>37</xdr:row>
      <xdr:rowOff>154442</xdr:rowOff>
    </xdr:from>
    <xdr:to>
      <xdr:col>3</xdr:col>
      <xdr:colOff>272143</xdr:colOff>
      <xdr:row>40</xdr:row>
      <xdr:rowOff>45587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1949A6C-244A-4909-85AD-C1EA7E63D721}"/>
            </a:ext>
          </a:extLst>
        </xdr:cNvPr>
        <xdr:cNvSpPr/>
      </xdr:nvSpPr>
      <xdr:spPr>
        <a:xfrm>
          <a:off x="0" y="7271522"/>
          <a:ext cx="2100943" cy="43978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December</a:t>
          </a:r>
        </a:p>
      </xdr:txBody>
    </xdr:sp>
    <xdr:clientData/>
  </xdr:twoCellAnchor>
  <xdr:twoCellAnchor>
    <xdr:from>
      <xdr:col>0</xdr:col>
      <xdr:colOff>0</xdr:colOff>
      <xdr:row>18</xdr:row>
      <xdr:rowOff>128590</xdr:rowOff>
    </xdr:from>
    <xdr:to>
      <xdr:col>3</xdr:col>
      <xdr:colOff>272143</xdr:colOff>
      <xdr:row>21</xdr:row>
      <xdr:rowOff>19734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F282945-06B6-4110-8658-4E84B1D9C9C1}"/>
            </a:ext>
          </a:extLst>
        </xdr:cNvPr>
        <xdr:cNvSpPr/>
      </xdr:nvSpPr>
      <xdr:spPr>
        <a:xfrm>
          <a:off x="0" y="3610930"/>
          <a:ext cx="2100943" cy="485504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June</a:t>
          </a:r>
        </a:p>
      </xdr:txBody>
    </xdr:sp>
    <xdr:clientData/>
  </xdr:twoCellAnchor>
  <xdr:twoCellAnchor>
    <xdr:from>
      <xdr:col>0</xdr:col>
      <xdr:colOff>0</xdr:colOff>
      <xdr:row>15</xdr:row>
      <xdr:rowOff>95932</xdr:rowOff>
    </xdr:from>
    <xdr:to>
      <xdr:col>3</xdr:col>
      <xdr:colOff>272143</xdr:colOff>
      <xdr:row>17</xdr:row>
      <xdr:rowOff>189483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DAAF41C-48E2-4FF5-BD9D-FADB52BD7A00}"/>
            </a:ext>
          </a:extLst>
        </xdr:cNvPr>
        <xdr:cNvSpPr/>
      </xdr:nvSpPr>
      <xdr:spPr>
        <a:xfrm>
          <a:off x="0" y="2983912"/>
          <a:ext cx="2100943" cy="489791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May</a:t>
          </a:r>
        </a:p>
      </xdr:txBody>
    </xdr:sp>
    <xdr:clientData/>
  </xdr:twoCellAnchor>
  <xdr:twoCellAnchor>
    <xdr:from>
      <xdr:col>0</xdr:col>
      <xdr:colOff>0</xdr:colOff>
      <xdr:row>12</xdr:row>
      <xdr:rowOff>74163</xdr:rowOff>
    </xdr:from>
    <xdr:to>
      <xdr:col>3</xdr:col>
      <xdr:colOff>272143</xdr:colOff>
      <xdr:row>14</xdr:row>
      <xdr:rowOff>150362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59F634C-C636-4E1B-BD7C-D715007AB991}"/>
            </a:ext>
          </a:extLst>
        </xdr:cNvPr>
        <xdr:cNvSpPr/>
      </xdr:nvSpPr>
      <xdr:spPr>
        <a:xfrm>
          <a:off x="0" y="2367783"/>
          <a:ext cx="2100943" cy="472439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April</a:t>
          </a:r>
        </a:p>
      </xdr:txBody>
    </xdr:sp>
    <xdr:clientData/>
  </xdr:twoCellAnchor>
  <xdr:twoCellAnchor>
    <xdr:from>
      <xdr:col>0</xdr:col>
      <xdr:colOff>0</xdr:colOff>
      <xdr:row>21</xdr:row>
      <xdr:rowOff>178596</xdr:rowOff>
    </xdr:from>
    <xdr:to>
      <xdr:col>3</xdr:col>
      <xdr:colOff>272143</xdr:colOff>
      <xdr:row>24</xdr:row>
      <xdr:rowOff>52391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36C4251-13E1-41EF-93C8-DD5C96A781D4}"/>
            </a:ext>
          </a:extLst>
        </xdr:cNvPr>
        <xdr:cNvSpPr/>
      </xdr:nvSpPr>
      <xdr:spPr>
        <a:xfrm>
          <a:off x="0" y="4255296"/>
          <a:ext cx="2100943" cy="46815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July</a:t>
          </a:r>
        </a:p>
      </xdr:txBody>
    </xdr:sp>
    <xdr:clientData/>
  </xdr:twoCellAnchor>
  <xdr:twoCellAnchor>
    <xdr:from>
      <xdr:col>42</xdr:col>
      <xdr:colOff>599440</xdr:colOff>
      <xdr:row>0</xdr:row>
      <xdr:rowOff>20320</xdr:rowOff>
    </xdr:from>
    <xdr:to>
      <xdr:col>57</xdr:col>
      <xdr:colOff>0</xdr:colOff>
      <xdr:row>3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1E704CF-5A62-4337-A2F9-85F0A061CA72}"/>
            </a:ext>
          </a:extLst>
        </xdr:cNvPr>
        <xdr:cNvSpPr/>
      </xdr:nvSpPr>
      <xdr:spPr>
        <a:xfrm>
          <a:off x="19184620" y="20320"/>
          <a:ext cx="11760200" cy="528320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3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Monthly Report</a:t>
          </a:r>
        </a:p>
      </xdr:txBody>
    </xdr:sp>
    <xdr:clientData/>
  </xdr:twoCellAnchor>
  <xdr:twoCellAnchor>
    <xdr:from>
      <xdr:col>4</xdr:col>
      <xdr:colOff>441434</xdr:colOff>
      <xdr:row>0</xdr:row>
      <xdr:rowOff>105103</xdr:rowOff>
    </xdr:from>
    <xdr:to>
      <xdr:col>5</xdr:col>
      <xdr:colOff>520262</xdr:colOff>
      <xdr:row>1</xdr:row>
      <xdr:rowOff>152400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538DB70-CBFC-460F-B3C8-6F0F3FCDA47C}"/>
            </a:ext>
          </a:extLst>
        </xdr:cNvPr>
        <xdr:cNvSpPr txBox="1"/>
      </xdr:nvSpPr>
      <xdr:spPr>
        <a:xfrm>
          <a:off x="2879834" y="105103"/>
          <a:ext cx="688428" cy="23017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5</xdr:col>
      <xdr:colOff>525518</xdr:colOff>
      <xdr:row>0</xdr:row>
      <xdr:rowOff>105102</xdr:rowOff>
    </xdr:from>
    <xdr:to>
      <xdr:col>7</xdr:col>
      <xdr:colOff>178676</xdr:colOff>
      <xdr:row>1</xdr:row>
      <xdr:rowOff>147144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7B5AF526-2A47-4E87-8318-0E232C891822}"/>
            </a:ext>
          </a:extLst>
        </xdr:cNvPr>
        <xdr:cNvSpPr txBox="1"/>
      </xdr:nvSpPr>
      <xdr:spPr>
        <a:xfrm>
          <a:off x="3573518" y="105102"/>
          <a:ext cx="925698" cy="2249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48BF154-D853-4C06-8A77-CF8B6B6C4045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01-Feb-2025</a:t>
          </a:fld>
          <a:endParaRPr lang="en-IN" sz="1100" b="1"/>
        </a:p>
      </xdr:txBody>
    </xdr:sp>
    <xdr:clientData/>
  </xdr:twoCellAnchor>
  <xdr:twoCellAnchor>
    <xdr:from>
      <xdr:col>7</xdr:col>
      <xdr:colOff>289034</xdr:colOff>
      <xdr:row>0</xdr:row>
      <xdr:rowOff>105102</xdr:rowOff>
    </xdr:from>
    <xdr:to>
      <xdr:col>7</xdr:col>
      <xdr:colOff>977462</xdr:colOff>
      <xdr:row>1</xdr:row>
      <xdr:rowOff>152400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E24F50B-9BC6-4A80-B2AD-8C34CA9451FA}"/>
            </a:ext>
          </a:extLst>
        </xdr:cNvPr>
        <xdr:cNvSpPr txBox="1"/>
      </xdr:nvSpPr>
      <xdr:spPr>
        <a:xfrm>
          <a:off x="4609574" y="105102"/>
          <a:ext cx="688428" cy="23017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982718</xdr:colOff>
      <xdr:row>0</xdr:row>
      <xdr:rowOff>105102</xdr:rowOff>
    </xdr:from>
    <xdr:to>
      <xdr:col>8</xdr:col>
      <xdr:colOff>888125</xdr:colOff>
      <xdr:row>1</xdr:row>
      <xdr:rowOff>152400</xdr:rowOff>
    </xdr:to>
    <xdr:sp macro="" textlink="$H$6">
      <xdr:nvSpPr>
        <xdr:cNvPr id="20" name="TextBox 19">
          <a:extLst>
            <a:ext uri="{FF2B5EF4-FFF2-40B4-BE49-F238E27FC236}">
              <a16:creationId xmlns:a16="http://schemas.microsoft.com/office/drawing/2014/main" id="{12DD6B38-5920-48C5-A9B5-47803AAA2FB9}"/>
            </a:ext>
          </a:extLst>
        </xdr:cNvPr>
        <xdr:cNvSpPr txBox="1"/>
      </xdr:nvSpPr>
      <xdr:spPr>
        <a:xfrm>
          <a:off x="5303258" y="105102"/>
          <a:ext cx="926487" cy="2301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C149F28-0450-43B5-AA89-70F407C47701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28-Feb-2025</a:t>
          </a:fld>
          <a:endParaRPr lang="en-IN" sz="1100" b="1"/>
        </a:p>
      </xdr:txBody>
    </xdr:sp>
    <xdr:clientData/>
  </xdr:twoCellAnchor>
  <xdr:twoCellAnchor>
    <xdr:from>
      <xdr:col>8</xdr:col>
      <xdr:colOff>1381124</xdr:colOff>
      <xdr:row>0</xdr:row>
      <xdr:rowOff>76199</xdr:rowOff>
    </xdr:from>
    <xdr:to>
      <xdr:col>23</xdr:col>
      <xdr:colOff>99060</xdr:colOff>
      <xdr:row>2</xdr:row>
      <xdr:rowOff>83342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72911F1-1BD5-477F-9A44-81FB1ABEDE0D}"/>
            </a:ext>
          </a:extLst>
        </xdr:cNvPr>
        <xdr:cNvSpPr txBox="1"/>
      </xdr:nvSpPr>
      <xdr:spPr>
        <a:xfrm>
          <a:off x="6722744" y="76199"/>
          <a:ext cx="5225416" cy="372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655007</xdr:colOff>
      <xdr:row>0</xdr:row>
      <xdr:rowOff>105268</xdr:rowOff>
    </xdr:from>
    <xdr:to>
      <xdr:col>18</xdr:col>
      <xdr:colOff>140084</xdr:colOff>
      <xdr:row>2</xdr:row>
      <xdr:rowOff>52879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9923D6-A524-4BE5-9FE4-E4F55C4A333E}"/>
            </a:ext>
          </a:extLst>
        </xdr:cNvPr>
        <xdr:cNvSpPr txBox="1"/>
      </xdr:nvSpPr>
      <xdr:spPr>
        <a:xfrm>
          <a:off x="7383467" y="105268"/>
          <a:ext cx="2959797" cy="3133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>
              <a:latin typeface="Times New Roman" panose="02020603050405020304" pitchFamily="18" charset="0"/>
              <a:cs typeface="Times New Roman" panose="02020603050405020304" pitchFamily="18" charset="0"/>
            </a:rPr>
            <a:t>Dashboard For</a:t>
          </a:r>
          <a:r>
            <a:rPr lang="en-IN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 the Month of</a:t>
          </a:r>
          <a:r>
            <a:rPr lang="en-IN" sz="18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 editAs="oneCell">
    <xdr:from>
      <xdr:col>9</xdr:col>
      <xdr:colOff>95805</xdr:colOff>
      <xdr:row>0</xdr:row>
      <xdr:rowOff>69126</xdr:rowOff>
    </xdr:from>
    <xdr:to>
      <xdr:col>9</xdr:col>
      <xdr:colOff>483475</xdr:colOff>
      <xdr:row>2</xdr:row>
      <xdr:rowOff>81857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9DFDEE3D-E0B3-400D-BF4A-8F6CE3E74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824265" y="69126"/>
          <a:ext cx="387670" cy="378491"/>
        </a:xfrm>
        <a:prstGeom prst="rect">
          <a:avLst/>
        </a:prstGeom>
      </xdr:spPr>
    </xdr:pic>
    <xdr:clientData/>
  </xdr:twoCellAnchor>
  <xdr:twoCellAnchor>
    <xdr:from>
      <xdr:col>18</xdr:col>
      <xdr:colOff>205740</xdr:colOff>
      <xdr:row>0</xdr:row>
      <xdr:rowOff>136634</xdr:rowOff>
    </xdr:from>
    <xdr:to>
      <xdr:col>23</xdr:col>
      <xdr:colOff>30479</xdr:colOff>
      <xdr:row>2</xdr:row>
      <xdr:rowOff>21020</xdr:rowOff>
    </xdr:to>
    <xdr:sp macro="" textlink="$I$5">
      <xdr:nvSpPr>
        <xdr:cNvPr id="24" name="TextBox 23">
          <a:extLst>
            <a:ext uri="{FF2B5EF4-FFF2-40B4-BE49-F238E27FC236}">
              <a16:creationId xmlns:a16="http://schemas.microsoft.com/office/drawing/2014/main" id="{71AD2854-2FBF-4233-84ED-E53532971C1C}"/>
            </a:ext>
          </a:extLst>
        </xdr:cNvPr>
        <xdr:cNvSpPr txBox="1"/>
      </xdr:nvSpPr>
      <xdr:spPr>
        <a:xfrm>
          <a:off x="10408920" y="136634"/>
          <a:ext cx="1470659" cy="25014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0CE7C42-3221-4D91-B0E5-69AF3A2979D1}" type="TxLink">
            <a:rPr lang="en-US" sz="1800" b="1" i="0" u="none" strike="noStrike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February</a:t>
          </a:fld>
          <a:endParaRPr lang="en-IN" sz="18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332400</xdr:colOff>
      <xdr:row>0</xdr:row>
      <xdr:rowOff>100435</xdr:rowOff>
    </xdr:from>
    <xdr:to>
      <xdr:col>25</xdr:col>
      <xdr:colOff>309626</xdr:colOff>
      <xdr:row>2</xdr:row>
      <xdr:rowOff>20878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1E85624-226C-4890-AC80-DE92162403F4}"/>
            </a:ext>
          </a:extLst>
        </xdr:cNvPr>
        <xdr:cNvSpPr txBox="1"/>
      </xdr:nvSpPr>
      <xdr:spPr>
        <a:xfrm>
          <a:off x="12524400" y="100435"/>
          <a:ext cx="373466" cy="2862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🟢</a:t>
          </a:r>
          <a:endParaRPr lang="en-IN" sz="1100"/>
        </a:p>
      </xdr:txBody>
    </xdr:sp>
    <xdr:clientData/>
  </xdr:twoCellAnchor>
  <xdr:twoCellAnchor>
    <xdr:from>
      <xdr:col>25</xdr:col>
      <xdr:colOff>178676</xdr:colOff>
      <xdr:row>0</xdr:row>
      <xdr:rowOff>94593</xdr:rowOff>
    </xdr:from>
    <xdr:to>
      <xdr:col>28</xdr:col>
      <xdr:colOff>89338</xdr:colOff>
      <xdr:row>2</xdr:row>
      <xdr:rowOff>10510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5FC4973-CC4C-4BB6-A5EE-A0D5A0B56EF1}"/>
            </a:ext>
          </a:extLst>
        </xdr:cNvPr>
        <xdr:cNvSpPr txBox="1"/>
      </xdr:nvSpPr>
      <xdr:spPr>
        <a:xfrm>
          <a:off x="12766916" y="94593"/>
          <a:ext cx="825062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Present</a:t>
          </a:r>
        </a:p>
      </xdr:txBody>
    </xdr:sp>
    <xdr:clientData/>
  </xdr:twoCellAnchor>
  <xdr:twoCellAnchor>
    <xdr:from>
      <xdr:col>29</xdr:col>
      <xdr:colOff>7901</xdr:colOff>
      <xdr:row>0</xdr:row>
      <xdr:rowOff>66223</xdr:rowOff>
    </xdr:from>
    <xdr:to>
      <xdr:col>30</xdr:col>
      <xdr:colOff>72571</xdr:colOff>
      <xdr:row>2</xdr:row>
      <xdr:rowOff>67388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6345A08-1670-41E6-93ED-6E2B538E209E}"/>
            </a:ext>
          </a:extLst>
        </xdr:cNvPr>
        <xdr:cNvSpPr txBox="1"/>
      </xdr:nvSpPr>
      <xdr:spPr>
        <a:xfrm>
          <a:off x="13868681" y="66223"/>
          <a:ext cx="438050" cy="366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aseline="0"/>
            <a:t>🔴</a:t>
          </a:r>
          <a:endParaRPr lang="en-IN" sz="1200"/>
        </a:p>
      </xdr:txBody>
    </xdr:sp>
    <xdr:clientData/>
  </xdr:twoCellAnchor>
  <xdr:twoCellAnchor>
    <xdr:from>
      <xdr:col>29</xdr:col>
      <xdr:colOff>297936</xdr:colOff>
      <xdr:row>0</xdr:row>
      <xdr:rowOff>99777</xdr:rowOff>
    </xdr:from>
    <xdr:to>
      <xdr:col>32</xdr:col>
      <xdr:colOff>11618</xdr:colOff>
      <xdr:row>2</xdr:row>
      <xdr:rowOff>15694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2F54243-E390-4828-B075-F08BD61E2F59}"/>
            </a:ext>
          </a:extLst>
        </xdr:cNvPr>
        <xdr:cNvSpPr txBox="1"/>
      </xdr:nvSpPr>
      <xdr:spPr>
        <a:xfrm>
          <a:off x="14158716" y="99777"/>
          <a:ext cx="826202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Absent</a:t>
          </a:r>
        </a:p>
      </xdr:txBody>
    </xdr:sp>
    <xdr:clientData/>
  </xdr:twoCellAnchor>
  <xdr:twoCellAnchor>
    <xdr:from>
      <xdr:col>32</xdr:col>
      <xdr:colOff>315812</xdr:colOff>
      <xdr:row>0</xdr:row>
      <xdr:rowOff>83848</xdr:rowOff>
    </xdr:from>
    <xdr:to>
      <xdr:col>34</xdr:col>
      <xdr:colOff>136849</xdr:colOff>
      <xdr:row>2</xdr:row>
      <xdr:rowOff>85013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F58199F-B1A8-4970-A84F-8629216A2895}"/>
            </a:ext>
          </a:extLst>
        </xdr:cNvPr>
        <xdr:cNvSpPr txBox="1"/>
      </xdr:nvSpPr>
      <xdr:spPr>
        <a:xfrm>
          <a:off x="15289112" y="83848"/>
          <a:ext cx="438257" cy="366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/>
            <a:t>🟡</a:t>
          </a:r>
          <a:endParaRPr lang="en-IN" sz="1200"/>
        </a:p>
      </xdr:txBody>
    </xdr:sp>
    <xdr:clientData/>
  </xdr:twoCellAnchor>
  <xdr:twoCellAnchor>
    <xdr:from>
      <xdr:col>33</xdr:col>
      <xdr:colOff>175602</xdr:colOff>
      <xdr:row>0</xdr:row>
      <xdr:rowOff>117402</xdr:rowOff>
    </xdr:from>
    <xdr:to>
      <xdr:col>36</xdr:col>
      <xdr:colOff>86263</xdr:colOff>
      <xdr:row>2</xdr:row>
      <xdr:rowOff>33319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08EC91F-679C-4F0E-9052-BD2629BC83C9}"/>
            </a:ext>
          </a:extLst>
        </xdr:cNvPr>
        <xdr:cNvSpPr txBox="1"/>
      </xdr:nvSpPr>
      <xdr:spPr>
        <a:xfrm>
          <a:off x="15507042" y="117402"/>
          <a:ext cx="825061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Leave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21771</xdr:colOff>
      <xdr:row>0</xdr:row>
      <xdr:rowOff>10887</xdr:rowOff>
    </xdr:from>
    <xdr:to>
      <xdr:col>42</xdr:col>
      <xdr:colOff>31750</xdr:colOff>
      <xdr:row>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82CD584-9B97-4B6E-BAF5-A8A1B243838C}"/>
            </a:ext>
          </a:extLst>
        </xdr:cNvPr>
        <xdr:cNvSpPr/>
      </xdr:nvSpPr>
      <xdr:spPr>
        <a:xfrm>
          <a:off x="1850571" y="10887"/>
          <a:ext cx="16766359" cy="537753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21771</xdr:colOff>
      <xdr:row>41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F59F285-F360-4939-86CD-ED56880DA038}"/>
            </a:ext>
          </a:extLst>
        </xdr:cNvPr>
        <xdr:cNvSpPr/>
      </xdr:nvSpPr>
      <xdr:spPr>
        <a:xfrm>
          <a:off x="0" y="0"/>
          <a:ext cx="1850571" cy="78486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2</xdr:row>
      <xdr:rowOff>125865</xdr:rowOff>
    </xdr:from>
    <xdr:to>
      <xdr:col>3</xdr:col>
      <xdr:colOff>272143</xdr:colOff>
      <xdr:row>5</xdr:row>
      <xdr:rowOff>93207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EA98D9-16BF-4E0F-B22E-CC8EE3BC25F3}"/>
            </a:ext>
          </a:extLst>
        </xdr:cNvPr>
        <xdr:cNvSpPr/>
      </xdr:nvSpPr>
      <xdr:spPr>
        <a:xfrm>
          <a:off x="0" y="492754"/>
          <a:ext cx="2092476" cy="51767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0</xdr:colOff>
      <xdr:row>6</xdr:row>
      <xdr:rowOff>67355</xdr:rowOff>
    </xdr:from>
    <xdr:to>
      <xdr:col>3</xdr:col>
      <xdr:colOff>272143</xdr:colOff>
      <xdr:row>8</xdr:row>
      <xdr:rowOff>95932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02BC5C-A884-4FCD-B403-34B3399A16AF}"/>
            </a:ext>
          </a:extLst>
        </xdr:cNvPr>
        <xdr:cNvSpPr/>
      </xdr:nvSpPr>
      <xdr:spPr>
        <a:xfrm>
          <a:off x="0" y="1164635"/>
          <a:ext cx="2100943" cy="432437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February</a:t>
          </a:r>
        </a:p>
      </xdr:txBody>
    </xdr:sp>
    <xdr:clientData/>
  </xdr:twoCellAnchor>
  <xdr:twoCellAnchor>
    <xdr:from>
      <xdr:col>0</xdr:col>
      <xdr:colOff>296334</xdr:colOff>
      <xdr:row>9</xdr:row>
      <xdr:rowOff>66500</xdr:rowOff>
    </xdr:from>
    <xdr:to>
      <xdr:col>3</xdr:col>
      <xdr:colOff>568477</xdr:colOff>
      <xdr:row>11</xdr:row>
      <xdr:rowOff>142700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57F213-C2FE-4943-9F0D-EF5A128A46FB}"/>
            </a:ext>
          </a:extLst>
        </xdr:cNvPr>
        <xdr:cNvSpPr/>
      </xdr:nvSpPr>
      <xdr:spPr>
        <a:xfrm>
          <a:off x="296334" y="1788056"/>
          <a:ext cx="2092476" cy="471311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0</xdr:colOff>
      <xdr:row>25</xdr:row>
      <xdr:rowOff>8849</xdr:rowOff>
    </xdr:from>
    <xdr:to>
      <xdr:col>3</xdr:col>
      <xdr:colOff>272143</xdr:colOff>
      <xdr:row>27</xdr:row>
      <xdr:rowOff>85048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2B5B1F6-9472-4788-BC11-4BE4B2802474}"/>
            </a:ext>
          </a:extLst>
        </xdr:cNvPr>
        <xdr:cNvSpPr/>
      </xdr:nvSpPr>
      <xdr:spPr>
        <a:xfrm>
          <a:off x="0" y="4878029"/>
          <a:ext cx="2100943" cy="472439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August</a:t>
          </a:r>
        </a:p>
      </xdr:txBody>
    </xdr:sp>
    <xdr:clientData/>
  </xdr:twoCellAnchor>
  <xdr:twoCellAnchor>
    <xdr:from>
      <xdr:col>0</xdr:col>
      <xdr:colOff>0</xdr:colOff>
      <xdr:row>28</xdr:row>
      <xdr:rowOff>41504</xdr:rowOff>
    </xdr:from>
    <xdr:to>
      <xdr:col>3</xdr:col>
      <xdr:colOff>272143</xdr:colOff>
      <xdr:row>30</xdr:row>
      <xdr:rowOff>165329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CF0A0AB-63A3-423E-914A-608B22FCDC9E}"/>
            </a:ext>
          </a:extLst>
        </xdr:cNvPr>
        <xdr:cNvSpPr/>
      </xdr:nvSpPr>
      <xdr:spPr>
        <a:xfrm>
          <a:off x="0" y="5512664"/>
          <a:ext cx="2100943" cy="48958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September</a:t>
          </a:r>
        </a:p>
      </xdr:txBody>
    </xdr:sp>
    <xdr:clientData/>
  </xdr:twoCellAnchor>
  <xdr:twoCellAnchor>
    <xdr:from>
      <xdr:col>0</xdr:col>
      <xdr:colOff>0</xdr:colOff>
      <xdr:row>31</xdr:row>
      <xdr:rowOff>110900</xdr:rowOff>
    </xdr:from>
    <xdr:to>
      <xdr:col>3</xdr:col>
      <xdr:colOff>272143</xdr:colOff>
      <xdr:row>34</xdr:row>
      <xdr:rowOff>8506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634144C-F758-4C6A-9D50-9873CD99EB67}"/>
            </a:ext>
          </a:extLst>
        </xdr:cNvPr>
        <xdr:cNvSpPr/>
      </xdr:nvSpPr>
      <xdr:spPr>
        <a:xfrm>
          <a:off x="0" y="6130700"/>
          <a:ext cx="2100943" cy="446246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October</a:t>
          </a:r>
        </a:p>
      </xdr:txBody>
    </xdr:sp>
    <xdr:clientData/>
  </xdr:twoCellAnchor>
  <xdr:twoCellAnchor>
    <xdr:from>
      <xdr:col>0</xdr:col>
      <xdr:colOff>0</xdr:colOff>
      <xdr:row>34</xdr:row>
      <xdr:rowOff>132671</xdr:rowOff>
    </xdr:from>
    <xdr:to>
      <xdr:col>3</xdr:col>
      <xdr:colOff>272143</xdr:colOff>
      <xdr:row>37</xdr:row>
      <xdr:rowOff>23815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0A78C57-35DC-4585-B5FA-67332318B4C9}"/>
            </a:ext>
          </a:extLst>
        </xdr:cNvPr>
        <xdr:cNvSpPr/>
      </xdr:nvSpPr>
      <xdr:spPr>
        <a:xfrm>
          <a:off x="0" y="6701111"/>
          <a:ext cx="2100943" cy="439784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November</a:t>
          </a:r>
        </a:p>
      </xdr:txBody>
    </xdr:sp>
    <xdr:clientData/>
  </xdr:twoCellAnchor>
  <xdr:twoCellAnchor>
    <xdr:from>
      <xdr:col>0</xdr:col>
      <xdr:colOff>0</xdr:colOff>
      <xdr:row>37</xdr:row>
      <xdr:rowOff>154442</xdr:rowOff>
    </xdr:from>
    <xdr:to>
      <xdr:col>3</xdr:col>
      <xdr:colOff>272143</xdr:colOff>
      <xdr:row>40</xdr:row>
      <xdr:rowOff>45587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81EC13C-3711-4E7D-A00C-8B7EFEA10BAF}"/>
            </a:ext>
          </a:extLst>
        </xdr:cNvPr>
        <xdr:cNvSpPr/>
      </xdr:nvSpPr>
      <xdr:spPr>
        <a:xfrm>
          <a:off x="0" y="7271522"/>
          <a:ext cx="2100943" cy="43978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December</a:t>
          </a:r>
        </a:p>
      </xdr:txBody>
    </xdr:sp>
    <xdr:clientData/>
  </xdr:twoCellAnchor>
  <xdr:twoCellAnchor>
    <xdr:from>
      <xdr:col>0</xdr:col>
      <xdr:colOff>0</xdr:colOff>
      <xdr:row>18</xdr:row>
      <xdr:rowOff>128590</xdr:rowOff>
    </xdr:from>
    <xdr:to>
      <xdr:col>3</xdr:col>
      <xdr:colOff>272143</xdr:colOff>
      <xdr:row>21</xdr:row>
      <xdr:rowOff>19734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64F18EA-DF67-4810-9345-7933BDCEEEF8}"/>
            </a:ext>
          </a:extLst>
        </xdr:cNvPr>
        <xdr:cNvSpPr/>
      </xdr:nvSpPr>
      <xdr:spPr>
        <a:xfrm>
          <a:off x="0" y="3610930"/>
          <a:ext cx="2100943" cy="485504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June</a:t>
          </a:r>
        </a:p>
      </xdr:txBody>
    </xdr:sp>
    <xdr:clientData/>
  </xdr:twoCellAnchor>
  <xdr:twoCellAnchor>
    <xdr:from>
      <xdr:col>0</xdr:col>
      <xdr:colOff>0</xdr:colOff>
      <xdr:row>15</xdr:row>
      <xdr:rowOff>95932</xdr:rowOff>
    </xdr:from>
    <xdr:to>
      <xdr:col>3</xdr:col>
      <xdr:colOff>272143</xdr:colOff>
      <xdr:row>17</xdr:row>
      <xdr:rowOff>189483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7C95D75-427C-4642-9A3D-525EBFD2F633}"/>
            </a:ext>
          </a:extLst>
        </xdr:cNvPr>
        <xdr:cNvSpPr/>
      </xdr:nvSpPr>
      <xdr:spPr>
        <a:xfrm>
          <a:off x="0" y="2983912"/>
          <a:ext cx="2100943" cy="489791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May</a:t>
          </a:r>
        </a:p>
      </xdr:txBody>
    </xdr:sp>
    <xdr:clientData/>
  </xdr:twoCellAnchor>
  <xdr:twoCellAnchor>
    <xdr:from>
      <xdr:col>0</xdr:col>
      <xdr:colOff>0</xdr:colOff>
      <xdr:row>12</xdr:row>
      <xdr:rowOff>74163</xdr:rowOff>
    </xdr:from>
    <xdr:to>
      <xdr:col>3</xdr:col>
      <xdr:colOff>272143</xdr:colOff>
      <xdr:row>14</xdr:row>
      <xdr:rowOff>150362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3AE026E-C6F2-422F-92D6-A7AF3F87BA19}"/>
            </a:ext>
          </a:extLst>
        </xdr:cNvPr>
        <xdr:cNvSpPr/>
      </xdr:nvSpPr>
      <xdr:spPr>
        <a:xfrm>
          <a:off x="0" y="2367783"/>
          <a:ext cx="2100943" cy="472439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April</a:t>
          </a:r>
        </a:p>
      </xdr:txBody>
    </xdr:sp>
    <xdr:clientData/>
  </xdr:twoCellAnchor>
  <xdr:twoCellAnchor>
    <xdr:from>
      <xdr:col>0</xdr:col>
      <xdr:colOff>0</xdr:colOff>
      <xdr:row>21</xdr:row>
      <xdr:rowOff>178596</xdr:rowOff>
    </xdr:from>
    <xdr:to>
      <xdr:col>3</xdr:col>
      <xdr:colOff>272143</xdr:colOff>
      <xdr:row>24</xdr:row>
      <xdr:rowOff>52391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45FC2BF-E3C0-4D16-958C-73F44A2100E3}"/>
            </a:ext>
          </a:extLst>
        </xdr:cNvPr>
        <xdr:cNvSpPr/>
      </xdr:nvSpPr>
      <xdr:spPr>
        <a:xfrm>
          <a:off x="0" y="4255296"/>
          <a:ext cx="2100943" cy="46815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July</a:t>
          </a:r>
        </a:p>
      </xdr:txBody>
    </xdr:sp>
    <xdr:clientData/>
  </xdr:twoCellAnchor>
  <xdr:twoCellAnchor>
    <xdr:from>
      <xdr:col>42</xdr:col>
      <xdr:colOff>599440</xdr:colOff>
      <xdr:row>0</xdr:row>
      <xdr:rowOff>20320</xdr:rowOff>
    </xdr:from>
    <xdr:to>
      <xdr:col>57</xdr:col>
      <xdr:colOff>0</xdr:colOff>
      <xdr:row>3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D4BC3D82-FB27-43B4-8345-8DD66B7390DD}"/>
            </a:ext>
          </a:extLst>
        </xdr:cNvPr>
        <xdr:cNvSpPr/>
      </xdr:nvSpPr>
      <xdr:spPr>
        <a:xfrm>
          <a:off x="19184620" y="20320"/>
          <a:ext cx="11760200" cy="528320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3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Monthly Report</a:t>
          </a:r>
        </a:p>
      </xdr:txBody>
    </xdr:sp>
    <xdr:clientData/>
  </xdr:twoCellAnchor>
  <xdr:twoCellAnchor>
    <xdr:from>
      <xdr:col>4</xdr:col>
      <xdr:colOff>441434</xdr:colOff>
      <xdr:row>0</xdr:row>
      <xdr:rowOff>105103</xdr:rowOff>
    </xdr:from>
    <xdr:to>
      <xdr:col>5</xdr:col>
      <xdr:colOff>520262</xdr:colOff>
      <xdr:row>1</xdr:row>
      <xdr:rowOff>152400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7F6635A-1C66-4EBC-A81B-A3FD5937DF39}"/>
            </a:ext>
          </a:extLst>
        </xdr:cNvPr>
        <xdr:cNvSpPr txBox="1"/>
      </xdr:nvSpPr>
      <xdr:spPr>
        <a:xfrm>
          <a:off x="2879834" y="105103"/>
          <a:ext cx="688428" cy="23017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5</xdr:col>
      <xdr:colOff>525518</xdr:colOff>
      <xdr:row>0</xdr:row>
      <xdr:rowOff>105102</xdr:rowOff>
    </xdr:from>
    <xdr:to>
      <xdr:col>7</xdr:col>
      <xdr:colOff>178676</xdr:colOff>
      <xdr:row>1</xdr:row>
      <xdr:rowOff>147144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B130089D-0027-4E80-A60D-721F264EE7D4}"/>
            </a:ext>
          </a:extLst>
        </xdr:cNvPr>
        <xdr:cNvSpPr txBox="1"/>
      </xdr:nvSpPr>
      <xdr:spPr>
        <a:xfrm>
          <a:off x="3573518" y="105102"/>
          <a:ext cx="925698" cy="2249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48BF154-D853-4C06-8A77-CF8B6B6C4045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01-Mar-2025</a:t>
          </a:fld>
          <a:endParaRPr lang="en-IN" sz="1100" b="1"/>
        </a:p>
      </xdr:txBody>
    </xdr:sp>
    <xdr:clientData/>
  </xdr:twoCellAnchor>
  <xdr:twoCellAnchor>
    <xdr:from>
      <xdr:col>7</xdr:col>
      <xdr:colOff>289034</xdr:colOff>
      <xdr:row>0</xdr:row>
      <xdr:rowOff>105102</xdr:rowOff>
    </xdr:from>
    <xdr:to>
      <xdr:col>7</xdr:col>
      <xdr:colOff>977462</xdr:colOff>
      <xdr:row>1</xdr:row>
      <xdr:rowOff>152400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2F6D785-5649-4F89-8B20-BE869A0BE826}"/>
            </a:ext>
          </a:extLst>
        </xdr:cNvPr>
        <xdr:cNvSpPr txBox="1"/>
      </xdr:nvSpPr>
      <xdr:spPr>
        <a:xfrm>
          <a:off x="4609574" y="105102"/>
          <a:ext cx="688428" cy="23017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982718</xdr:colOff>
      <xdr:row>0</xdr:row>
      <xdr:rowOff>105102</xdr:rowOff>
    </xdr:from>
    <xdr:to>
      <xdr:col>8</xdr:col>
      <xdr:colOff>888125</xdr:colOff>
      <xdr:row>1</xdr:row>
      <xdr:rowOff>152400</xdr:rowOff>
    </xdr:to>
    <xdr:sp macro="" textlink="$H$6">
      <xdr:nvSpPr>
        <xdr:cNvPr id="20" name="TextBox 19">
          <a:extLst>
            <a:ext uri="{FF2B5EF4-FFF2-40B4-BE49-F238E27FC236}">
              <a16:creationId xmlns:a16="http://schemas.microsoft.com/office/drawing/2014/main" id="{CDB9A0F5-336A-4ED5-9DF6-85D3E54D5F78}"/>
            </a:ext>
          </a:extLst>
        </xdr:cNvPr>
        <xdr:cNvSpPr txBox="1"/>
      </xdr:nvSpPr>
      <xdr:spPr>
        <a:xfrm>
          <a:off x="5303258" y="105102"/>
          <a:ext cx="926487" cy="2301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C149F28-0450-43B5-AA89-70F407C47701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31-Mar-2025</a:t>
          </a:fld>
          <a:endParaRPr lang="en-IN" sz="1100" b="1"/>
        </a:p>
      </xdr:txBody>
    </xdr:sp>
    <xdr:clientData/>
  </xdr:twoCellAnchor>
  <xdr:twoCellAnchor>
    <xdr:from>
      <xdr:col>8</xdr:col>
      <xdr:colOff>1381124</xdr:colOff>
      <xdr:row>0</xdr:row>
      <xdr:rowOff>76199</xdr:rowOff>
    </xdr:from>
    <xdr:to>
      <xdr:col>23</xdr:col>
      <xdr:colOff>99060</xdr:colOff>
      <xdr:row>2</xdr:row>
      <xdr:rowOff>83342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F5C1B50-65DF-4119-B0D0-0B4D12308FE4}"/>
            </a:ext>
          </a:extLst>
        </xdr:cNvPr>
        <xdr:cNvSpPr txBox="1"/>
      </xdr:nvSpPr>
      <xdr:spPr>
        <a:xfrm>
          <a:off x="6722744" y="76199"/>
          <a:ext cx="5225416" cy="372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655007</xdr:colOff>
      <xdr:row>0</xdr:row>
      <xdr:rowOff>105268</xdr:rowOff>
    </xdr:from>
    <xdr:to>
      <xdr:col>18</xdr:col>
      <xdr:colOff>140084</xdr:colOff>
      <xdr:row>2</xdr:row>
      <xdr:rowOff>52879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1636FBF-1B4B-4F92-B973-2C510F9C215E}"/>
            </a:ext>
          </a:extLst>
        </xdr:cNvPr>
        <xdr:cNvSpPr txBox="1"/>
      </xdr:nvSpPr>
      <xdr:spPr>
        <a:xfrm>
          <a:off x="7383467" y="105268"/>
          <a:ext cx="2959797" cy="3133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>
              <a:latin typeface="Times New Roman" panose="02020603050405020304" pitchFamily="18" charset="0"/>
              <a:cs typeface="Times New Roman" panose="02020603050405020304" pitchFamily="18" charset="0"/>
            </a:rPr>
            <a:t>Dashboard For</a:t>
          </a:r>
          <a:r>
            <a:rPr lang="en-IN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 the Month of</a:t>
          </a:r>
          <a:r>
            <a:rPr lang="en-IN" sz="18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 editAs="oneCell">
    <xdr:from>
      <xdr:col>9</xdr:col>
      <xdr:colOff>95805</xdr:colOff>
      <xdr:row>0</xdr:row>
      <xdr:rowOff>69126</xdr:rowOff>
    </xdr:from>
    <xdr:to>
      <xdr:col>9</xdr:col>
      <xdr:colOff>483475</xdr:colOff>
      <xdr:row>2</xdr:row>
      <xdr:rowOff>81857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4960CAFF-7214-4E0D-AD91-FF939EB4A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824265" y="69126"/>
          <a:ext cx="387670" cy="378491"/>
        </a:xfrm>
        <a:prstGeom prst="rect">
          <a:avLst/>
        </a:prstGeom>
      </xdr:spPr>
    </xdr:pic>
    <xdr:clientData/>
  </xdr:twoCellAnchor>
  <xdr:twoCellAnchor>
    <xdr:from>
      <xdr:col>18</xdr:col>
      <xdr:colOff>205740</xdr:colOff>
      <xdr:row>0</xdr:row>
      <xdr:rowOff>136634</xdr:rowOff>
    </xdr:from>
    <xdr:to>
      <xdr:col>23</xdr:col>
      <xdr:colOff>30479</xdr:colOff>
      <xdr:row>2</xdr:row>
      <xdr:rowOff>21020</xdr:rowOff>
    </xdr:to>
    <xdr:sp macro="" textlink="$I$5">
      <xdr:nvSpPr>
        <xdr:cNvPr id="24" name="TextBox 23">
          <a:extLst>
            <a:ext uri="{FF2B5EF4-FFF2-40B4-BE49-F238E27FC236}">
              <a16:creationId xmlns:a16="http://schemas.microsoft.com/office/drawing/2014/main" id="{6DF34A1A-891A-4D05-8325-E63F504467D3}"/>
            </a:ext>
          </a:extLst>
        </xdr:cNvPr>
        <xdr:cNvSpPr txBox="1"/>
      </xdr:nvSpPr>
      <xdr:spPr>
        <a:xfrm>
          <a:off x="10408920" y="136634"/>
          <a:ext cx="1470659" cy="25014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0CE7C42-3221-4D91-B0E5-69AF3A2979D1}" type="TxLink">
            <a:rPr lang="en-US" sz="1800" b="1" i="0" u="none" strike="noStrike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March</a:t>
          </a:fld>
          <a:endParaRPr lang="en-IN" sz="18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332400</xdr:colOff>
      <xdr:row>0</xdr:row>
      <xdr:rowOff>100435</xdr:rowOff>
    </xdr:from>
    <xdr:to>
      <xdr:col>25</xdr:col>
      <xdr:colOff>309626</xdr:colOff>
      <xdr:row>2</xdr:row>
      <xdr:rowOff>20878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328E4D0-48A5-475C-B9D8-8394FFBD4735}"/>
            </a:ext>
          </a:extLst>
        </xdr:cNvPr>
        <xdr:cNvSpPr txBox="1"/>
      </xdr:nvSpPr>
      <xdr:spPr>
        <a:xfrm>
          <a:off x="12524400" y="100435"/>
          <a:ext cx="373466" cy="2862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🟢</a:t>
          </a:r>
          <a:endParaRPr lang="en-IN" sz="1100"/>
        </a:p>
      </xdr:txBody>
    </xdr:sp>
    <xdr:clientData/>
  </xdr:twoCellAnchor>
  <xdr:twoCellAnchor>
    <xdr:from>
      <xdr:col>25</xdr:col>
      <xdr:colOff>178676</xdr:colOff>
      <xdr:row>0</xdr:row>
      <xdr:rowOff>94593</xdr:rowOff>
    </xdr:from>
    <xdr:to>
      <xdr:col>28</xdr:col>
      <xdr:colOff>89338</xdr:colOff>
      <xdr:row>2</xdr:row>
      <xdr:rowOff>10510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AB5C528-E164-4493-86EC-AFA154BDB0DF}"/>
            </a:ext>
          </a:extLst>
        </xdr:cNvPr>
        <xdr:cNvSpPr txBox="1"/>
      </xdr:nvSpPr>
      <xdr:spPr>
        <a:xfrm>
          <a:off x="12766916" y="94593"/>
          <a:ext cx="825062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Present</a:t>
          </a:r>
        </a:p>
      </xdr:txBody>
    </xdr:sp>
    <xdr:clientData/>
  </xdr:twoCellAnchor>
  <xdr:twoCellAnchor>
    <xdr:from>
      <xdr:col>29</xdr:col>
      <xdr:colOff>7901</xdr:colOff>
      <xdr:row>0</xdr:row>
      <xdr:rowOff>66223</xdr:rowOff>
    </xdr:from>
    <xdr:to>
      <xdr:col>30</xdr:col>
      <xdr:colOff>72571</xdr:colOff>
      <xdr:row>2</xdr:row>
      <xdr:rowOff>67388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87BBDBE-FC85-4268-80B5-B793A407DA30}"/>
            </a:ext>
          </a:extLst>
        </xdr:cNvPr>
        <xdr:cNvSpPr txBox="1"/>
      </xdr:nvSpPr>
      <xdr:spPr>
        <a:xfrm>
          <a:off x="13868681" y="66223"/>
          <a:ext cx="438050" cy="366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aseline="0"/>
            <a:t>🔴</a:t>
          </a:r>
          <a:endParaRPr lang="en-IN" sz="1200"/>
        </a:p>
      </xdr:txBody>
    </xdr:sp>
    <xdr:clientData/>
  </xdr:twoCellAnchor>
  <xdr:twoCellAnchor>
    <xdr:from>
      <xdr:col>29</xdr:col>
      <xdr:colOff>297936</xdr:colOff>
      <xdr:row>0</xdr:row>
      <xdr:rowOff>99777</xdr:rowOff>
    </xdr:from>
    <xdr:to>
      <xdr:col>32</xdr:col>
      <xdr:colOff>11618</xdr:colOff>
      <xdr:row>2</xdr:row>
      <xdr:rowOff>15694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6B97DB2-158A-4318-8B77-30CA75D28305}"/>
            </a:ext>
          </a:extLst>
        </xdr:cNvPr>
        <xdr:cNvSpPr txBox="1"/>
      </xdr:nvSpPr>
      <xdr:spPr>
        <a:xfrm>
          <a:off x="14158716" y="99777"/>
          <a:ext cx="826202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Absent</a:t>
          </a:r>
        </a:p>
      </xdr:txBody>
    </xdr:sp>
    <xdr:clientData/>
  </xdr:twoCellAnchor>
  <xdr:twoCellAnchor>
    <xdr:from>
      <xdr:col>32</xdr:col>
      <xdr:colOff>315812</xdr:colOff>
      <xdr:row>0</xdr:row>
      <xdr:rowOff>83848</xdr:rowOff>
    </xdr:from>
    <xdr:to>
      <xdr:col>34</xdr:col>
      <xdr:colOff>136849</xdr:colOff>
      <xdr:row>2</xdr:row>
      <xdr:rowOff>85013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DBCF9C7-CDD9-4948-83D1-6D3805B8A195}"/>
            </a:ext>
          </a:extLst>
        </xdr:cNvPr>
        <xdr:cNvSpPr txBox="1"/>
      </xdr:nvSpPr>
      <xdr:spPr>
        <a:xfrm>
          <a:off x="15289112" y="83848"/>
          <a:ext cx="438257" cy="366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/>
            <a:t>🟡</a:t>
          </a:r>
          <a:endParaRPr lang="en-IN" sz="1200"/>
        </a:p>
      </xdr:txBody>
    </xdr:sp>
    <xdr:clientData/>
  </xdr:twoCellAnchor>
  <xdr:twoCellAnchor>
    <xdr:from>
      <xdr:col>33</xdr:col>
      <xdr:colOff>175602</xdr:colOff>
      <xdr:row>0</xdr:row>
      <xdr:rowOff>117402</xdr:rowOff>
    </xdr:from>
    <xdr:to>
      <xdr:col>36</xdr:col>
      <xdr:colOff>86263</xdr:colOff>
      <xdr:row>2</xdr:row>
      <xdr:rowOff>33319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60072B5-F580-407B-B543-3F1C1C47B60F}"/>
            </a:ext>
          </a:extLst>
        </xdr:cNvPr>
        <xdr:cNvSpPr txBox="1"/>
      </xdr:nvSpPr>
      <xdr:spPr>
        <a:xfrm>
          <a:off x="15507042" y="117402"/>
          <a:ext cx="825061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Leave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21771</xdr:colOff>
      <xdr:row>0</xdr:row>
      <xdr:rowOff>10887</xdr:rowOff>
    </xdr:from>
    <xdr:to>
      <xdr:col>42</xdr:col>
      <xdr:colOff>31750</xdr:colOff>
      <xdr:row>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B674BC2-B7AD-4C4E-B842-AC314003555E}"/>
            </a:ext>
          </a:extLst>
        </xdr:cNvPr>
        <xdr:cNvSpPr/>
      </xdr:nvSpPr>
      <xdr:spPr>
        <a:xfrm>
          <a:off x="1836057" y="10887"/>
          <a:ext cx="16640931" cy="533399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21771</xdr:colOff>
      <xdr:row>41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2C41060-C5BB-455C-BB8F-C209ACE6447D}"/>
            </a:ext>
          </a:extLst>
        </xdr:cNvPr>
        <xdr:cNvSpPr/>
      </xdr:nvSpPr>
      <xdr:spPr>
        <a:xfrm>
          <a:off x="0" y="0"/>
          <a:ext cx="1850571" cy="78486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62139</xdr:colOff>
      <xdr:row>2</xdr:row>
      <xdr:rowOff>125865</xdr:rowOff>
    </xdr:from>
    <xdr:to>
      <xdr:col>3</xdr:col>
      <xdr:colOff>334282</xdr:colOff>
      <xdr:row>5</xdr:row>
      <xdr:rowOff>93207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C10A3-FAF4-406F-8BFF-5BCCB3654381}"/>
            </a:ext>
          </a:extLst>
        </xdr:cNvPr>
        <xdr:cNvSpPr/>
      </xdr:nvSpPr>
      <xdr:spPr>
        <a:xfrm>
          <a:off x="62139" y="488722"/>
          <a:ext cx="2086429" cy="511628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0</xdr:colOff>
      <xdr:row>6</xdr:row>
      <xdr:rowOff>67355</xdr:rowOff>
    </xdr:from>
    <xdr:to>
      <xdr:col>3</xdr:col>
      <xdr:colOff>272143</xdr:colOff>
      <xdr:row>8</xdr:row>
      <xdr:rowOff>95932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A50E7D-8D5B-4854-95C8-47028B2438C3}"/>
            </a:ext>
          </a:extLst>
        </xdr:cNvPr>
        <xdr:cNvSpPr/>
      </xdr:nvSpPr>
      <xdr:spPr>
        <a:xfrm>
          <a:off x="0" y="1164635"/>
          <a:ext cx="2100943" cy="432437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February</a:t>
          </a:r>
        </a:p>
      </xdr:txBody>
    </xdr:sp>
    <xdr:clientData/>
  </xdr:twoCellAnchor>
  <xdr:twoCellAnchor>
    <xdr:from>
      <xdr:col>0</xdr:col>
      <xdr:colOff>0</xdr:colOff>
      <xdr:row>9</xdr:row>
      <xdr:rowOff>52389</xdr:rowOff>
    </xdr:from>
    <xdr:to>
      <xdr:col>3</xdr:col>
      <xdr:colOff>272143</xdr:colOff>
      <xdr:row>11</xdr:row>
      <xdr:rowOff>128589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3634D29-8B05-49B6-A38C-3C4D5F457ED5}"/>
            </a:ext>
          </a:extLst>
        </xdr:cNvPr>
        <xdr:cNvSpPr/>
      </xdr:nvSpPr>
      <xdr:spPr>
        <a:xfrm>
          <a:off x="0" y="1751649"/>
          <a:ext cx="2100943" cy="472440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March</a:t>
          </a:r>
        </a:p>
      </xdr:txBody>
    </xdr:sp>
    <xdr:clientData/>
  </xdr:twoCellAnchor>
  <xdr:twoCellAnchor>
    <xdr:from>
      <xdr:col>0</xdr:col>
      <xdr:colOff>0</xdr:colOff>
      <xdr:row>25</xdr:row>
      <xdr:rowOff>8849</xdr:rowOff>
    </xdr:from>
    <xdr:to>
      <xdr:col>3</xdr:col>
      <xdr:colOff>272143</xdr:colOff>
      <xdr:row>27</xdr:row>
      <xdr:rowOff>85048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5CE17E8-5C1A-42A8-A217-F3C237D41610}"/>
            </a:ext>
          </a:extLst>
        </xdr:cNvPr>
        <xdr:cNvSpPr/>
      </xdr:nvSpPr>
      <xdr:spPr>
        <a:xfrm>
          <a:off x="0" y="4878029"/>
          <a:ext cx="2100943" cy="472439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August</a:t>
          </a:r>
        </a:p>
      </xdr:txBody>
    </xdr:sp>
    <xdr:clientData/>
  </xdr:twoCellAnchor>
  <xdr:twoCellAnchor>
    <xdr:from>
      <xdr:col>0</xdr:col>
      <xdr:colOff>0</xdr:colOff>
      <xdr:row>28</xdr:row>
      <xdr:rowOff>41504</xdr:rowOff>
    </xdr:from>
    <xdr:to>
      <xdr:col>3</xdr:col>
      <xdr:colOff>272143</xdr:colOff>
      <xdr:row>30</xdr:row>
      <xdr:rowOff>165329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84BD0FC-7568-4879-9FB5-23F3092E3832}"/>
            </a:ext>
          </a:extLst>
        </xdr:cNvPr>
        <xdr:cNvSpPr/>
      </xdr:nvSpPr>
      <xdr:spPr>
        <a:xfrm>
          <a:off x="0" y="5512664"/>
          <a:ext cx="2100943" cy="48958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September</a:t>
          </a:r>
        </a:p>
      </xdr:txBody>
    </xdr:sp>
    <xdr:clientData/>
  </xdr:twoCellAnchor>
  <xdr:twoCellAnchor>
    <xdr:from>
      <xdr:col>0</xdr:col>
      <xdr:colOff>0</xdr:colOff>
      <xdr:row>31</xdr:row>
      <xdr:rowOff>110900</xdr:rowOff>
    </xdr:from>
    <xdr:to>
      <xdr:col>3</xdr:col>
      <xdr:colOff>272143</xdr:colOff>
      <xdr:row>34</xdr:row>
      <xdr:rowOff>8506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2D4BC7D-35A0-40ED-BDA7-30837CD89095}"/>
            </a:ext>
          </a:extLst>
        </xdr:cNvPr>
        <xdr:cNvSpPr/>
      </xdr:nvSpPr>
      <xdr:spPr>
        <a:xfrm>
          <a:off x="0" y="6130700"/>
          <a:ext cx="2100943" cy="446246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October</a:t>
          </a:r>
        </a:p>
      </xdr:txBody>
    </xdr:sp>
    <xdr:clientData/>
  </xdr:twoCellAnchor>
  <xdr:twoCellAnchor>
    <xdr:from>
      <xdr:col>0</xdr:col>
      <xdr:colOff>0</xdr:colOff>
      <xdr:row>34</xdr:row>
      <xdr:rowOff>132671</xdr:rowOff>
    </xdr:from>
    <xdr:to>
      <xdr:col>3</xdr:col>
      <xdr:colOff>272143</xdr:colOff>
      <xdr:row>37</xdr:row>
      <xdr:rowOff>23815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E90D6D-CAF5-483D-9693-F09E65FCCE05}"/>
            </a:ext>
          </a:extLst>
        </xdr:cNvPr>
        <xdr:cNvSpPr/>
      </xdr:nvSpPr>
      <xdr:spPr>
        <a:xfrm>
          <a:off x="0" y="6701111"/>
          <a:ext cx="2100943" cy="439784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November</a:t>
          </a:r>
        </a:p>
      </xdr:txBody>
    </xdr:sp>
    <xdr:clientData/>
  </xdr:twoCellAnchor>
  <xdr:twoCellAnchor>
    <xdr:from>
      <xdr:col>0</xdr:col>
      <xdr:colOff>0</xdr:colOff>
      <xdr:row>37</xdr:row>
      <xdr:rowOff>154442</xdr:rowOff>
    </xdr:from>
    <xdr:to>
      <xdr:col>3</xdr:col>
      <xdr:colOff>272143</xdr:colOff>
      <xdr:row>40</xdr:row>
      <xdr:rowOff>45587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D21D138-C3A7-435F-9277-3EF6AA95AE74}"/>
            </a:ext>
          </a:extLst>
        </xdr:cNvPr>
        <xdr:cNvSpPr/>
      </xdr:nvSpPr>
      <xdr:spPr>
        <a:xfrm>
          <a:off x="0" y="7271522"/>
          <a:ext cx="2100943" cy="43978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December</a:t>
          </a:r>
        </a:p>
      </xdr:txBody>
    </xdr:sp>
    <xdr:clientData/>
  </xdr:twoCellAnchor>
  <xdr:twoCellAnchor>
    <xdr:from>
      <xdr:col>0</xdr:col>
      <xdr:colOff>0</xdr:colOff>
      <xdr:row>18</xdr:row>
      <xdr:rowOff>128590</xdr:rowOff>
    </xdr:from>
    <xdr:to>
      <xdr:col>3</xdr:col>
      <xdr:colOff>272143</xdr:colOff>
      <xdr:row>21</xdr:row>
      <xdr:rowOff>19734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DC29255-D390-4F95-B35A-D6C7A4E8E6FC}"/>
            </a:ext>
          </a:extLst>
        </xdr:cNvPr>
        <xdr:cNvSpPr/>
      </xdr:nvSpPr>
      <xdr:spPr>
        <a:xfrm>
          <a:off x="0" y="3610930"/>
          <a:ext cx="2100943" cy="485504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June</a:t>
          </a:r>
        </a:p>
      </xdr:txBody>
    </xdr:sp>
    <xdr:clientData/>
  </xdr:twoCellAnchor>
  <xdr:twoCellAnchor>
    <xdr:from>
      <xdr:col>0</xdr:col>
      <xdr:colOff>0</xdr:colOff>
      <xdr:row>15</xdr:row>
      <xdr:rowOff>95932</xdr:rowOff>
    </xdr:from>
    <xdr:to>
      <xdr:col>3</xdr:col>
      <xdr:colOff>272143</xdr:colOff>
      <xdr:row>17</xdr:row>
      <xdr:rowOff>189483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198ACB5-133D-4B9B-9CD7-FBE6413966A8}"/>
            </a:ext>
          </a:extLst>
        </xdr:cNvPr>
        <xdr:cNvSpPr/>
      </xdr:nvSpPr>
      <xdr:spPr>
        <a:xfrm>
          <a:off x="0" y="2983912"/>
          <a:ext cx="2100943" cy="489791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May</a:t>
          </a:r>
        </a:p>
      </xdr:txBody>
    </xdr:sp>
    <xdr:clientData/>
  </xdr:twoCellAnchor>
  <xdr:twoCellAnchor>
    <xdr:from>
      <xdr:col>0</xdr:col>
      <xdr:colOff>350762</xdr:colOff>
      <xdr:row>12</xdr:row>
      <xdr:rowOff>86258</xdr:rowOff>
    </xdr:from>
    <xdr:to>
      <xdr:col>4</xdr:col>
      <xdr:colOff>18143</xdr:colOff>
      <xdr:row>14</xdr:row>
      <xdr:rowOff>162457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9147520-FA62-4B48-BA81-7F4F73C3FBE0}"/>
            </a:ext>
          </a:extLst>
        </xdr:cNvPr>
        <xdr:cNvSpPr/>
      </xdr:nvSpPr>
      <xdr:spPr>
        <a:xfrm>
          <a:off x="350762" y="2360163"/>
          <a:ext cx="2086429" cy="463246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April</a:t>
          </a:r>
        </a:p>
      </xdr:txBody>
    </xdr:sp>
    <xdr:clientData/>
  </xdr:twoCellAnchor>
  <xdr:twoCellAnchor>
    <xdr:from>
      <xdr:col>0</xdr:col>
      <xdr:colOff>0</xdr:colOff>
      <xdr:row>21</xdr:row>
      <xdr:rowOff>178596</xdr:rowOff>
    </xdr:from>
    <xdr:to>
      <xdr:col>3</xdr:col>
      <xdr:colOff>272143</xdr:colOff>
      <xdr:row>24</xdr:row>
      <xdr:rowOff>52391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58B61AB-444A-4CC3-A2AB-A6BE4486B5E4}"/>
            </a:ext>
          </a:extLst>
        </xdr:cNvPr>
        <xdr:cNvSpPr/>
      </xdr:nvSpPr>
      <xdr:spPr>
        <a:xfrm>
          <a:off x="0" y="4255296"/>
          <a:ext cx="2100943" cy="46815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July</a:t>
          </a:r>
        </a:p>
      </xdr:txBody>
    </xdr:sp>
    <xdr:clientData/>
  </xdr:twoCellAnchor>
  <xdr:twoCellAnchor>
    <xdr:from>
      <xdr:col>42</xdr:col>
      <xdr:colOff>599440</xdr:colOff>
      <xdr:row>0</xdr:row>
      <xdr:rowOff>20320</xdr:rowOff>
    </xdr:from>
    <xdr:to>
      <xdr:col>57</xdr:col>
      <xdr:colOff>0</xdr:colOff>
      <xdr:row>3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305178A-594B-437F-A136-9FA80595F65E}"/>
            </a:ext>
          </a:extLst>
        </xdr:cNvPr>
        <xdr:cNvSpPr/>
      </xdr:nvSpPr>
      <xdr:spPr>
        <a:xfrm>
          <a:off x="19184620" y="20320"/>
          <a:ext cx="11760200" cy="528320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3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Monthly Report</a:t>
          </a:r>
        </a:p>
      </xdr:txBody>
    </xdr:sp>
    <xdr:clientData/>
  </xdr:twoCellAnchor>
  <xdr:twoCellAnchor>
    <xdr:from>
      <xdr:col>4</xdr:col>
      <xdr:colOff>441434</xdr:colOff>
      <xdr:row>0</xdr:row>
      <xdr:rowOff>105103</xdr:rowOff>
    </xdr:from>
    <xdr:to>
      <xdr:col>5</xdr:col>
      <xdr:colOff>520262</xdr:colOff>
      <xdr:row>1</xdr:row>
      <xdr:rowOff>152400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CA00B19-ED06-480D-9652-1BE379C5307A}"/>
            </a:ext>
          </a:extLst>
        </xdr:cNvPr>
        <xdr:cNvSpPr txBox="1"/>
      </xdr:nvSpPr>
      <xdr:spPr>
        <a:xfrm>
          <a:off x="2879834" y="105103"/>
          <a:ext cx="688428" cy="23017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5</xdr:col>
      <xdr:colOff>525518</xdr:colOff>
      <xdr:row>0</xdr:row>
      <xdr:rowOff>105102</xdr:rowOff>
    </xdr:from>
    <xdr:to>
      <xdr:col>7</xdr:col>
      <xdr:colOff>178676</xdr:colOff>
      <xdr:row>1</xdr:row>
      <xdr:rowOff>147144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9AEDBB15-C2A3-4F6B-A8F4-3C3FB8855C9A}"/>
            </a:ext>
          </a:extLst>
        </xdr:cNvPr>
        <xdr:cNvSpPr txBox="1"/>
      </xdr:nvSpPr>
      <xdr:spPr>
        <a:xfrm>
          <a:off x="3573518" y="105102"/>
          <a:ext cx="925698" cy="2249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48BF154-D853-4C06-8A77-CF8B6B6C4045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01-Apr-2025</a:t>
          </a:fld>
          <a:endParaRPr lang="en-IN" sz="1100" b="1"/>
        </a:p>
      </xdr:txBody>
    </xdr:sp>
    <xdr:clientData/>
  </xdr:twoCellAnchor>
  <xdr:twoCellAnchor>
    <xdr:from>
      <xdr:col>7</xdr:col>
      <xdr:colOff>289034</xdr:colOff>
      <xdr:row>0</xdr:row>
      <xdr:rowOff>105102</xdr:rowOff>
    </xdr:from>
    <xdr:to>
      <xdr:col>7</xdr:col>
      <xdr:colOff>977462</xdr:colOff>
      <xdr:row>1</xdr:row>
      <xdr:rowOff>152400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3F1C899-0817-4DD8-A6CB-67812C8856C0}"/>
            </a:ext>
          </a:extLst>
        </xdr:cNvPr>
        <xdr:cNvSpPr txBox="1"/>
      </xdr:nvSpPr>
      <xdr:spPr>
        <a:xfrm>
          <a:off x="4609574" y="105102"/>
          <a:ext cx="688428" cy="23017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982718</xdr:colOff>
      <xdr:row>0</xdr:row>
      <xdr:rowOff>105102</xdr:rowOff>
    </xdr:from>
    <xdr:to>
      <xdr:col>8</xdr:col>
      <xdr:colOff>888125</xdr:colOff>
      <xdr:row>1</xdr:row>
      <xdr:rowOff>152400</xdr:rowOff>
    </xdr:to>
    <xdr:sp macro="" textlink="$H$6">
      <xdr:nvSpPr>
        <xdr:cNvPr id="20" name="TextBox 19">
          <a:extLst>
            <a:ext uri="{FF2B5EF4-FFF2-40B4-BE49-F238E27FC236}">
              <a16:creationId xmlns:a16="http://schemas.microsoft.com/office/drawing/2014/main" id="{C58B195E-7DE5-4E02-8B25-03FE28389548}"/>
            </a:ext>
          </a:extLst>
        </xdr:cNvPr>
        <xdr:cNvSpPr txBox="1"/>
      </xdr:nvSpPr>
      <xdr:spPr>
        <a:xfrm>
          <a:off x="5303258" y="105102"/>
          <a:ext cx="926487" cy="2301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C149F28-0450-43B5-AA89-70F407C47701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30-Apr-2025</a:t>
          </a:fld>
          <a:endParaRPr lang="en-IN" sz="1100" b="1"/>
        </a:p>
      </xdr:txBody>
    </xdr:sp>
    <xdr:clientData/>
  </xdr:twoCellAnchor>
  <xdr:twoCellAnchor>
    <xdr:from>
      <xdr:col>8</xdr:col>
      <xdr:colOff>1381124</xdr:colOff>
      <xdr:row>0</xdr:row>
      <xdr:rowOff>76199</xdr:rowOff>
    </xdr:from>
    <xdr:to>
      <xdr:col>23</xdr:col>
      <xdr:colOff>99060</xdr:colOff>
      <xdr:row>2</xdr:row>
      <xdr:rowOff>83342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A49FD91-1F5E-4819-AF97-E9F4CA5AC320}"/>
            </a:ext>
          </a:extLst>
        </xdr:cNvPr>
        <xdr:cNvSpPr txBox="1"/>
      </xdr:nvSpPr>
      <xdr:spPr>
        <a:xfrm>
          <a:off x="6722744" y="76199"/>
          <a:ext cx="5225416" cy="372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655007</xdr:colOff>
      <xdr:row>0</xdr:row>
      <xdr:rowOff>105268</xdr:rowOff>
    </xdr:from>
    <xdr:to>
      <xdr:col>18</xdr:col>
      <xdr:colOff>140084</xdr:colOff>
      <xdr:row>2</xdr:row>
      <xdr:rowOff>52879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52D92D2-C76B-4519-AF42-CBB7A524D885}"/>
            </a:ext>
          </a:extLst>
        </xdr:cNvPr>
        <xdr:cNvSpPr txBox="1"/>
      </xdr:nvSpPr>
      <xdr:spPr>
        <a:xfrm>
          <a:off x="7383467" y="105268"/>
          <a:ext cx="2959797" cy="3133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>
              <a:latin typeface="Times New Roman" panose="02020603050405020304" pitchFamily="18" charset="0"/>
              <a:cs typeface="Times New Roman" panose="02020603050405020304" pitchFamily="18" charset="0"/>
            </a:rPr>
            <a:t>Dashboard For</a:t>
          </a:r>
          <a:r>
            <a:rPr lang="en-IN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 the Month of</a:t>
          </a:r>
          <a:r>
            <a:rPr lang="en-IN" sz="18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 editAs="oneCell">
    <xdr:from>
      <xdr:col>9</xdr:col>
      <xdr:colOff>95805</xdr:colOff>
      <xdr:row>0</xdr:row>
      <xdr:rowOff>69126</xdr:rowOff>
    </xdr:from>
    <xdr:to>
      <xdr:col>9</xdr:col>
      <xdr:colOff>483475</xdr:colOff>
      <xdr:row>2</xdr:row>
      <xdr:rowOff>81857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29F37C2B-4A48-445A-A930-63AD53B1D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824265" y="69126"/>
          <a:ext cx="387670" cy="378491"/>
        </a:xfrm>
        <a:prstGeom prst="rect">
          <a:avLst/>
        </a:prstGeom>
      </xdr:spPr>
    </xdr:pic>
    <xdr:clientData/>
  </xdr:twoCellAnchor>
  <xdr:twoCellAnchor>
    <xdr:from>
      <xdr:col>18</xdr:col>
      <xdr:colOff>205740</xdr:colOff>
      <xdr:row>0</xdr:row>
      <xdr:rowOff>136634</xdr:rowOff>
    </xdr:from>
    <xdr:to>
      <xdr:col>23</xdr:col>
      <xdr:colOff>30479</xdr:colOff>
      <xdr:row>2</xdr:row>
      <xdr:rowOff>21020</xdr:rowOff>
    </xdr:to>
    <xdr:sp macro="" textlink="$I$5">
      <xdr:nvSpPr>
        <xdr:cNvPr id="24" name="TextBox 23">
          <a:extLst>
            <a:ext uri="{FF2B5EF4-FFF2-40B4-BE49-F238E27FC236}">
              <a16:creationId xmlns:a16="http://schemas.microsoft.com/office/drawing/2014/main" id="{6A8E46F4-9FC1-47D4-8AF5-76A8071452FF}"/>
            </a:ext>
          </a:extLst>
        </xdr:cNvPr>
        <xdr:cNvSpPr txBox="1"/>
      </xdr:nvSpPr>
      <xdr:spPr>
        <a:xfrm>
          <a:off x="10408920" y="136634"/>
          <a:ext cx="1470659" cy="25014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0CE7C42-3221-4D91-B0E5-69AF3A2979D1}" type="TxLink">
            <a:rPr lang="en-US" sz="1800" b="1" i="0" u="none" strike="noStrike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April</a:t>
          </a:fld>
          <a:endParaRPr lang="en-IN" sz="18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332400</xdr:colOff>
      <xdr:row>0</xdr:row>
      <xdr:rowOff>100435</xdr:rowOff>
    </xdr:from>
    <xdr:to>
      <xdr:col>25</xdr:col>
      <xdr:colOff>309626</xdr:colOff>
      <xdr:row>2</xdr:row>
      <xdr:rowOff>20878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91EE815-3AEC-4C30-9BE1-B03597E3355C}"/>
            </a:ext>
          </a:extLst>
        </xdr:cNvPr>
        <xdr:cNvSpPr txBox="1"/>
      </xdr:nvSpPr>
      <xdr:spPr>
        <a:xfrm>
          <a:off x="12524400" y="100435"/>
          <a:ext cx="373466" cy="2862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🟢</a:t>
          </a:r>
          <a:endParaRPr lang="en-IN" sz="1100"/>
        </a:p>
      </xdr:txBody>
    </xdr:sp>
    <xdr:clientData/>
  </xdr:twoCellAnchor>
  <xdr:twoCellAnchor>
    <xdr:from>
      <xdr:col>25</xdr:col>
      <xdr:colOff>178676</xdr:colOff>
      <xdr:row>0</xdr:row>
      <xdr:rowOff>94593</xdr:rowOff>
    </xdr:from>
    <xdr:to>
      <xdr:col>28</xdr:col>
      <xdr:colOff>89338</xdr:colOff>
      <xdr:row>2</xdr:row>
      <xdr:rowOff>10510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01EB6D9-65D1-4CAC-9F4C-212D60D8BD3D}"/>
            </a:ext>
          </a:extLst>
        </xdr:cNvPr>
        <xdr:cNvSpPr txBox="1"/>
      </xdr:nvSpPr>
      <xdr:spPr>
        <a:xfrm>
          <a:off x="12766916" y="94593"/>
          <a:ext cx="825062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Present</a:t>
          </a:r>
        </a:p>
      </xdr:txBody>
    </xdr:sp>
    <xdr:clientData/>
  </xdr:twoCellAnchor>
  <xdr:twoCellAnchor>
    <xdr:from>
      <xdr:col>29</xdr:col>
      <xdr:colOff>7901</xdr:colOff>
      <xdr:row>0</xdr:row>
      <xdr:rowOff>66223</xdr:rowOff>
    </xdr:from>
    <xdr:to>
      <xdr:col>30</xdr:col>
      <xdr:colOff>72571</xdr:colOff>
      <xdr:row>2</xdr:row>
      <xdr:rowOff>67388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9338B76-A34B-46C6-9F3F-42B252D30743}"/>
            </a:ext>
          </a:extLst>
        </xdr:cNvPr>
        <xdr:cNvSpPr txBox="1"/>
      </xdr:nvSpPr>
      <xdr:spPr>
        <a:xfrm>
          <a:off x="13868681" y="66223"/>
          <a:ext cx="438050" cy="366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aseline="0"/>
            <a:t>🔴</a:t>
          </a:r>
          <a:endParaRPr lang="en-IN" sz="1200"/>
        </a:p>
      </xdr:txBody>
    </xdr:sp>
    <xdr:clientData/>
  </xdr:twoCellAnchor>
  <xdr:twoCellAnchor>
    <xdr:from>
      <xdr:col>29</xdr:col>
      <xdr:colOff>297936</xdr:colOff>
      <xdr:row>0</xdr:row>
      <xdr:rowOff>99777</xdr:rowOff>
    </xdr:from>
    <xdr:to>
      <xdr:col>32</xdr:col>
      <xdr:colOff>11618</xdr:colOff>
      <xdr:row>2</xdr:row>
      <xdr:rowOff>15694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8B13551-0AF3-4EAF-B934-7A59F2F0E574}"/>
            </a:ext>
          </a:extLst>
        </xdr:cNvPr>
        <xdr:cNvSpPr txBox="1"/>
      </xdr:nvSpPr>
      <xdr:spPr>
        <a:xfrm>
          <a:off x="14158716" y="99777"/>
          <a:ext cx="826202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Absent</a:t>
          </a:r>
        </a:p>
      </xdr:txBody>
    </xdr:sp>
    <xdr:clientData/>
  </xdr:twoCellAnchor>
  <xdr:twoCellAnchor>
    <xdr:from>
      <xdr:col>32</xdr:col>
      <xdr:colOff>315812</xdr:colOff>
      <xdr:row>0</xdr:row>
      <xdr:rowOff>83848</xdr:rowOff>
    </xdr:from>
    <xdr:to>
      <xdr:col>34</xdr:col>
      <xdr:colOff>136849</xdr:colOff>
      <xdr:row>2</xdr:row>
      <xdr:rowOff>85013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DBB55FF-13AC-427B-A129-1743EDCC956C}"/>
            </a:ext>
          </a:extLst>
        </xdr:cNvPr>
        <xdr:cNvSpPr txBox="1"/>
      </xdr:nvSpPr>
      <xdr:spPr>
        <a:xfrm>
          <a:off x="15289112" y="83848"/>
          <a:ext cx="438257" cy="366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/>
            <a:t>🟡</a:t>
          </a:r>
          <a:endParaRPr lang="en-IN" sz="1200"/>
        </a:p>
      </xdr:txBody>
    </xdr:sp>
    <xdr:clientData/>
  </xdr:twoCellAnchor>
  <xdr:twoCellAnchor>
    <xdr:from>
      <xdr:col>33</xdr:col>
      <xdr:colOff>175602</xdr:colOff>
      <xdr:row>0</xdr:row>
      <xdr:rowOff>117402</xdr:rowOff>
    </xdr:from>
    <xdr:to>
      <xdr:col>36</xdr:col>
      <xdr:colOff>86263</xdr:colOff>
      <xdr:row>2</xdr:row>
      <xdr:rowOff>33319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D6B2B6B-9288-4071-8930-CAF92D558D9D}"/>
            </a:ext>
          </a:extLst>
        </xdr:cNvPr>
        <xdr:cNvSpPr txBox="1"/>
      </xdr:nvSpPr>
      <xdr:spPr>
        <a:xfrm>
          <a:off x="15507042" y="117402"/>
          <a:ext cx="825061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Leave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21771</xdr:colOff>
      <xdr:row>0</xdr:row>
      <xdr:rowOff>10887</xdr:rowOff>
    </xdr:from>
    <xdr:to>
      <xdr:col>42</xdr:col>
      <xdr:colOff>31750</xdr:colOff>
      <xdr:row>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B2CE43B-C853-4A37-AD5F-0925C682FEA1}"/>
            </a:ext>
          </a:extLst>
        </xdr:cNvPr>
        <xdr:cNvSpPr/>
      </xdr:nvSpPr>
      <xdr:spPr>
        <a:xfrm>
          <a:off x="1850571" y="10887"/>
          <a:ext cx="16766359" cy="537753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21771</xdr:colOff>
      <xdr:row>41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06AC51A-8672-4BED-B240-EB3126E1C3F1}"/>
            </a:ext>
          </a:extLst>
        </xdr:cNvPr>
        <xdr:cNvSpPr/>
      </xdr:nvSpPr>
      <xdr:spPr>
        <a:xfrm>
          <a:off x="0" y="0"/>
          <a:ext cx="1850571" cy="78486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14967</xdr:colOff>
      <xdr:row>2</xdr:row>
      <xdr:rowOff>125865</xdr:rowOff>
    </xdr:from>
    <xdr:to>
      <xdr:col>3</xdr:col>
      <xdr:colOff>287110</xdr:colOff>
      <xdr:row>5</xdr:row>
      <xdr:rowOff>93207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89C171-711B-4EF7-A6F9-3F5629C49905}"/>
            </a:ext>
          </a:extLst>
        </xdr:cNvPr>
        <xdr:cNvSpPr/>
      </xdr:nvSpPr>
      <xdr:spPr>
        <a:xfrm>
          <a:off x="14967" y="495979"/>
          <a:ext cx="2100943" cy="522514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0</xdr:colOff>
      <xdr:row>6</xdr:row>
      <xdr:rowOff>67355</xdr:rowOff>
    </xdr:from>
    <xdr:to>
      <xdr:col>3</xdr:col>
      <xdr:colOff>272143</xdr:colOff>
      <xdr:row>8</xdr:row>
      <xdr:rowOff>95932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D32896-5073-49FD-A21D-25E96EDBED18}"/>
            </a:ext>
          </a:extLst>
        </xdr:cNvPr>
        <xdr:cNvSpPr/>
      </xdr:nvSpPr>
      <xdr:spPr>
        <a:xfrm>
          <a:off x="0" y="1164635"/>
          <a:ext cx="2100943" cy="432437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February</a:t>
          </a:r>
        </a:p>
      </xdr:txBody>
    </xdr:sp>
    <xdr:clientData/>
  </xdr:twoCellAnchor>
  <xdr:twoCellAnchor>
    <xdr:from>
      <xdr:col>0</xdr:col>
      <xdr:colOff>0</xdr:colOff>
      <xdr:row>9</xdr:row>
      <xdr:rowOff>52389</xdr:rowOff>
    </xdr:from>
    <xdr:to>
      <xdr:col>3</xdr:col>
      <xdr:colOff>272143</xdr:colOff>
      <xdr:row>11</xdr:row>
      <xdr:rowOff>128589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391019C-D2DF-4A71-A23E-5B8434656ECD}"/>
            </a:ext>
          </a:extLst>
        </xdr:cNvPr>
        <xdr:cNvSpPr/>
      </xdr:nvSpPr>
      <xdr:spPr>
        <a:xfrm>
          <a:off x="0" y="1751649"/>
          <a:ext cx="2100943" cy="472440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March</a:t>
          </a:r>
        </a:p>
      </xdr:txBody>
    </xdr:sp>
    <xdr:clientData/>
  </xdr:twoCellAnchor>
  <xdr:twoCellAnchor>
    <xdr:from>
      <xdr:col>0</xdr:col>
      <xdr:colOff>0</xdr:colOff>
      <xdr:row>25</xdr:row>
      <xdr:rowOff>8849</xdr:rowOff>
    </xdr:from>
    <xdr:to>
      <xdr:col>3</xdr:col>
      <xdr:colOff>272143</xdr:colOff>
      <xdr:row>27</xdr:row>
      <xdr:rowOff>85048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DC8F8D5-A110-4A09-8562-3492FF0D1CCF}"/>
            </a:ext>
          </a:extLst>
        </xdr:cNvPr>
        <xdr:cNvSpPr/>
      </xdr:nvSpPr>
      <xdr:spPr>
        <a:xfrm>
          <a:off x="0" y="4878029"/>
          <a:ext cx="2100943" cy="472439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August</a:t>
          </a:r>
        </a:p>
      </xdr:txBody>
    </xdr:sp>
    <xdr:clientData/>
  </xdr:twoCellAnchor>
  <xdr:twoCellAnchor>
    <xdr:from>
      <xdr:col>0</xdr:col>
      <xdr:colOff>0</xdr:colOff>
      <xdr:row>28</xdr:row>
      <xdr:rowOff>41504</xdr:rowOff>
    </xdr:from>
    <xdr:to>
      <xdr:col>3</xdr:col>
      <xdr:colOff>272143</xdr:colOff>
      <xdr:row>30</xdr:row>
      <xdr:rowOff>165329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BB0584E-D0E3-418A-8661-5ED38E5D212A}"/>
            </a:ext>
          </a:extLst>
        </xdr:cNvPr>
        <xdr:cNvSpPr/>
      </xdr:nvSpPr>
      <xdr:spPr>
        <a:xfrm>
          <a:off x="0" y="5512664"/>
          <a:ext cx="2100943" cy="48958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September</a:t>
          </a:r>
        </a:p>
      </xdr:txBody>
    </xdr:sp>
    <xdr:clientData/>
  </xdr:twoCellAnchor>
  <xdr:twoCellAnchor>
    <xdr:from>
      <xdr:col>0</xdr:col>
      <xdr:colOff>0</xdr:colOff>
      <xdr:row>31</xdr:row>
      <xdr:rowOff>110900</xdr:rowOff>
    </xdr:from>
    <xdr:to>
      <xdr:col>3</xdr:col>
      <xdr:colOff>272143</xdr:colOff>
      <xdr:row>34</xdr:row>
      <xdr:rowOff>8506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5133BDA-2FD8-4D19-BA80-CA7CDE0E1F50}"/>
            </a:ext>
          </a:extLst>
        </xdr:cNvPr>
        <xdr:cNvSpPr/>
      </xdr:nvSpPr>
      <xdr:spPr>
        <a:xfrm>
          <a:off x="0" y="6130700"/>
          <a:ext cx="2100943" cy="446246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October</a:t>
          </a:r>
        </a:p>
      </xdr:txBody>
    </xdr:sp>
    <xdr:clientData/>
  </xdr:twoCellAnchor>
  <xdr:twoCellAnchor>
    <xdr:from>
      <xdr:col>0</xdr:col>
      <xdr:colOff>0</xdr:colOff>
      <xdr:row>34</xdr:row>
      <xdr:rowOff>132671</xdr:rowOff>
    </xdr:from>
    <xdr:to>
      <xdr:col>3</xdr:col>
      <xdr:colOff>272143</xdr:colOff>
      <xdr:row>37</xdr:row>
      <xdr:rowOff>23815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1E6CDFF-1274-48FF-B482-947E572EC1C8}"/>
            </a:ext>
          </a:extLst>
        </xdr:cNvPr>
        <xdr:cNvSpPr/>
      </xdr:nvSpPr>
      <xdr:spPr>
        <a:xfrm>
          <a:off x="0" y="6701111"/>
          <a:ext cx="2100943" cy="439784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November</a:t>
          </a:r>
        </a:p>
      </xdr:txBody>
    </xdr:sp>
    <xdr:clientData/>
  </xdr:twoCellAnchor>
  <xdr:twoCellAnchor>
    <xdr:from>
      <xdr:col>0</xdr:col>
      <xdr:colOff>0</xdr:colOff>
      <xdr:row>37</xdr:row>
      <xdr:rowOff>154442</xdr:rowOff>
    </xdr:from>
    <xdr:to>
      <xdr:col>3</xdr:col>
      <xdr:colOff>272143</xdr:colOff>
      <xdr:row>40</xdr:row>
      <xdr:rowOff>45587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FBDE972-2B34-41F1-B029-578F1FD48FCD}"/>
            </a:ext>
          </a:extLst>
        </xdr:cNvPr>
        <xdr:cNvSpPr/>
      </xdr:nvSpPr>
      <xdr:spPr>
        <a:xfrm>
          <a:off x="0" y="7271522"/>
          <a:ext cx="2100943" cy="43978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December</a:t>
          </a:r>
        </a:p>
      </xdr:txBody>
    </xdr:sp>
    <xdr:clientData/>
  </xdr:twoCellAnchor>
  <xdr:twoCellAnchor>
    <xdr:from>
      <xdr:col>0</xdr:col>
      <xdr:colOff>0</xdr:colOff>
      <xdr:row>18</xdr:row>
      <xdr:rowOff>128590</xdr:rowOff>
    </xdr:from>
    <xdr:to>
      <xdr:col>3</xdr:col>
      <xdr:colOff>272143</xdr:colOff>
      <xdr:row>21</xdr:row>
      <xdr:rowOff>19734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F2614D3-E190-428E-AC2A-B9BF76D4CCCC}"/>
            </a:ext>
          </a:extLst>
        </xdr:cNvPr>
        <xdr:cNvSpPr/>
      </xdr:nvSpPr>
      <xdr:spPr>
        <a:xfrm>
          <a:off x="0" y="3610930"/>
          <a:ext cx="2100943" cy="485504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June</a:t>
          </a:r>
        </a:p>
      </xdr:txBody>
    </xdr:sp>
    <xdr:clientData/>
  </xdr:twoCellAnchor>
  <xdr:twoCellAnchor>
    <xdr:from>
      <xdr:col>0</xdr:col>
      <xdr:colOff>326571</xdr:colOff>
      <xdr:row>15</xdr:row>
      <xdr:rowOff>106817</xdr:rowOff>
    </xdr:from>
    <xdr:to>
      <xdr:col>3</xdr:col>
      <xdr:colOff>598714</xdr:colOff>
      <xdr:row>18</xdr:row>
      <xdr:rowOff>4425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7F30B9F-9D35-4F42-B6F0-53F0243B6D21}"/>
            </a:ext>
          </a:extLst>
        </xdr:cNvPr>
        <xdr:cNvSpPr/>
      </xdr:nvSpPr>
      <xdr:spPr>
        <a:xfrm>
          <a:off x="326571" y="3002417"/>
          <a:ext cx="2100943" cy="485437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May</a:t>
          </a:r>
        </a:p>
      </xdr:txBody>
    </xdr:sp>
    <xdr:clientData/>
  </xdr:twoCellAnchor>
  <xdr:twoCellAnchor>
    <xdr:from>
      <xdr:col>0</xdr:col>
      <xdr:colOff>0</xdr:colOff>
      <xdr:row>12</xdr:row>
      <xdr:rowOff>74163</xdr:rowOff>
    </xdr:from>
    <xdr:to>
      <xdr:col>3</xdr:col>
      <xdr:colOff>272143</xdr:colOff>
      <xdr:row>14</xdr:row>
      <xdr:rowOff>150362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805BE5C-C780-4989-B37D-DA7D38D5C76A}"/>
            </a:ext>
          </a:extLst>
        </xdr:cNvPr>
        <xdr:cNvSpPr/>
      </xdr:nvSpPr>
      <xdr:spPr>
        <a:xfrm>
          <a:off x="0" y="2367783"/>
          <a:ext cx="2100943" cy="472439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April</a:t>
          </a:r>
        </a:p>
      </xdr:txBody>
    </xdr:sp>
    <xdr:clientData/>
  </xdr:twoCellAnchor>
  <xdr:twoCellAnchor>
    <xdr:from>
      <xdr:col>0</xdr:col>
      <xdr:colOff>0</xdr:colOff>
      <xdr:row>21</xdr:row>
      <xdr:rowOff>178596</xdr:rowOff>
    </xdr:from>
    <xdr:to>
      <xdr:col>3</xdr:col>
      <xdr:colOff>272143</xdr:colOff>
      <xdr:row>24</xdr:row>
      <xdr:rowOff>52391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C78084D-1B71-467C-93AD-8E9DB43313E1}"/>
            </a:ext>
          </a:extLst>
        </xdr:cNvPr>
        <xdr:cNvSpPr/>
      </xdr:nvSpPr>
      <xdr:spPr>
        <a:xfrm>
          <a:off x="0" y="4255296"/>
          <a:ext cx="2100943" cy="46815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July</a:t>
          </a:r>
        </a:p>
      </xdr:txBody>
    </xdr:sp>
    <xdr:clientData/>
  </xdr:twoCellAnchor>
  <xdr:twoCellAnchor>
    <xdr:from>
      <xdr:col>42</xdr:col>
      <xdr:colOff>599440</xdr:colOff>
      <xdr:row>0</xdr:row>
      <xdr:rowOff>20320</xdr:rowOff>
    </xdr:from>
    <xdr:to>
      <xdr:col>57</xdr:col>
      <xdr:colOff>0</xdr:colOff>
      <xdr:row>3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7DAAE42-1D1B-4EEE-94C0-D862A3F830E8}"/>
            </a:ext>
          </a:extLst>
        </xdr:cNvPr>
        <xdr:cNvSpPr/>
      </xdr:nvSpPr>
      <xdr:spPr>
        <a:xfrm>
          <a:off x="19184620" y="20320"/>
          <a:ext cx="11760200" cy="528320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3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Monthly Report</a:t>
          </a:r>
        </a:p>
      </xdr:txBody>
    </xdr:sp>
    <xdr:clientData/>
  </xdr:twoCellAnchor>
  <xdr:twoCellAnchor>
    <xdr:from>
      <xdr:col>4</xdr:col>
      <xdr:colOff>441434</xdr:colOff>
      <xdr:row>0</xdr:row>
      <xdr:rowOff>105103</xdr:rowOff>
    </xdr:from>
    <xdr:to>
      <xdr:col>5</xdr:col>
      <xdr:colOff>520262</xdr:colOff>
      <xdr:row>1</xdr:row>
      <xdr:rowOff>152400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2973792-3A00-4686-B143-F6AACB88DD82}"/>
            </a:ext>
          </a:extLst>
        </xdr:cNvPr>
        <xdr:cNvSpPr txBox="1"/>
      </xdr:nvSpPr>
      <xdr:spPr>
        <a:xfrm>
          <a:off x="2879834" y="105103"/>
          <a:ext cx="688428" cy="23017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5</xdr:col>
      <xdr:colOff>525518</xdr:colOff>
      <xdr:row>0</xdr:row>
      <xdr:rowOff>105102</xdr:rowOff>
    </xdr:from>
    <xdr:to>
      <xdr:col>7</xdr:col>
      <xdr:colOff>178676</xdr:colOff>
      <xdr:row>1</xdr:row>
      <xdr:rowOff>147144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D6BEC2C9-580C-4D82-A70F-0B0E66C1ADFF}"/>
            </a:ext>
          </a:extLst>
        </xdr:cNvPr>
        <xdr:cNvSpPr txBox="1"/>
      </xdr:nvSpPr>
      <xdr:spPr>
        <a:xfrm>
          <a:off x="3573518" y="105102"/>
          <a:ext cx="925698" cy="2249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48BF154-D853-4C06-8A77-CF8B6B6C4045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01-May-2025</a:t>
          </a:fld>
          <a:endParaRPr lang="en-IN" sz="1100" b="1"/>
        </a:p>
      </xdr:txBody>
    </xdr:sp>
    <xdr:clientData/>
  </xdr:twoCellAnchor>
  <xdr:twoCellAnchor>
    <xdr:from>
      <xdr:col>7</xdr:col>
      <xdr:colOff>289034</xdr:colOff>
      <xdr:row>0</xdr:row>
      <xdr:rowOff>105102</xdr:rowOff>
    </xdr:from>
    <xdr:to>
      <xdr:col>7</xdr:col>
      <xdr:colOff>977462</xdr:colOff>
      <xdr:row>1</xdr:row>
      <xdr:rowOff>152400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AF37023-2D88-4839-90A6-0DCDA2CB598B}"/>
            </a:ext>
          </a:extLst>
        </xdr:cNvPr>
        <xdr:cNvSpPr txBox="1"/>
      </xdr:nvSpPr>
      <xdr:spPr>
        <a:xfrm>
          <a:off x="4609574" y="105102"/>
          <a:ext cx="688428" cy="23017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982718</xdr:colOff>
      <xdr:row>0</xdr:row>
      <xdr:rowOff>105102</xdr:rowOff>
    </xdr:from>
    <xdr:to>
      <xdr:col>8</xdr:col>
      <xdr:colOff>888125</xdr:colOff>
      <xdr:row>1</xdr:row>
      <xdr:rowOff>152400</xdr:rowOff>
    </xdr:to>
    <xdr:sp macro="" textlink="$H$6">
      <xdr:nvSpPr>
        <xdr:cNvPr id="20" name="TextBox 19">
          <a:extLst>
            <a:ext uri="{FF2B5EF4-FFF2-40B4-BE49-F238E27FC236}">
              <a16:creationId xmlns:a16="http://schemas.microsoft.com/office/drawing/2014/main" id="{DE88DDDD-437F-4707-95A8-741A952A2E02}"/>
            </a:ext>
          </a:extLst>
        </xdr:cNvPr>
        <xdr:cNvSpPr txBox="1"/>
      </xdr:nvSpPr>
      <xdr:spPr>
        <a:xfrm>
          <a:off x="5303258" y="105102"/>
          <a:ext cx="926487" cy="2301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C149F28-0450-43B5-AA89-70F407C47701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31-May-2025</a:t>
          </a:fld>
          <a:endParaRPr lang="en-IN" sz="1100" b="1"/>
        </a:p>
      </xdr:txBody>
    </xdr:sp>
    <xdr:clientData/>
  </xdr:twoCellAnchor>
  <xdr:twoCellAnchor>
    <xdr:from>
      <xdr:col>8</xdr:col>
      <xdr:colOff>1381124</xdr:colOff>
      <xdr:row>0</xdr:row>
      <xdr:rowOff>76199</xdr:rowOff>
    </xdr:from>
    <xdr:to>
      <xdr:col>23</xdr:col>
      <xdr:colOff>99060</xdr:colOff>
      <xdr:row>2</xdr:row>
      <xdr:rowOff>83342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A49188D-1610-493F-B058-0948FEA94462}"/>
            </a:ext>
          </a:extLst>
        </xdr:cNvPr>
        <xdr:cNvSpPr txBox="1"/>
      </xdr:nvSpPr>
      <xdr:spPr>
        <a:xfrm>
          <a:off x="6722744" y="76199"/>
          <a:ext cx="5225416" cy="372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655007</xdr:colOff>
      <xdr:row>0</xdr:row>
      <xdr:rowOff>105268</xdr:rowOff>
    </xdr:from>
    <xdr:to>
      <xdr:col>18</xdr:col>
      <xdr:colOff>140084</xdr:colOff>
      <xdr:row>2</xdr:row>
      <xdr:rowOff>52879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ED1BC49-A8AA-43B3-A645-C3F1A570A2DD}"/>
            </a:ext>
          </a:extLst>
        </xdr:cNvPr>
        <xdr:cNvSpPr txBox="1"/>
      </xdr:nvSpPr>
      <xdr:spPr>
        <a:xfrm>
          <a:off x="7383467" y="105268"/>
          <a:ext cx="2959797" cy="3133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>
              <a:latin typeface="Times New Roman" panose="02020603050405020304" pitchFamily="18" charset="0"/>
              <a:cs typeface="Times New Roman" panose="02020603050405020304" pitchFamily="18" charset="0"/>
            </a:rPr>
            <a:t>Dashboard For</a:t>
          </a:r>
          <a:r>
            <a:rPr lang="en-IN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 the Month of</a:t>
          </a:r>
          <a:r>
            <a:rPr lang="en-IN" sz="18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 editAs="oneCell">
    <xdr:from>
      <xdr:col>9</xdr:col>
      <xdr:colOff>95805</xdr:colOff>
      <xdr:row>0</xdr:row>
      <xdr:rowOff>69126</xdr:rowOff>
    </xdr:from>
    <xdr:to>
      <xdr:col>9</xdr:col>
      <xdr:colOff>483475</xdr:colOff>
      <xdr:row>2</xdr:row>
      <xdr:rowOff>81857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D4CB5257-F91C-4E42-82E7-C108969D5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824265" y="69126"/>
          <a:ext cx="387670" cy="378491"/>
        </a:xfrm>
        <a:prstGeom prst="rect">
          <a:avLst/>
        </a:prstGeom>
      </xdr:spPr>
    </xdr:pic>
    <xdr:clientData/>
  </xdr:twoCellAnchor>
  <xdr:twoCellAnchor>
    <xdr:from>
      <xdr:col>18</xdr:col>
      <xdr:colOff>205740</xdr:colOff>
      <xdr:row>0</xdr:row>
      <xdr:rowOff>136634</xdr:rowOff>
    </xdr:from>
    <xdr:to>
      <xdr:col>23</xdr:col>
      <xdr:colOff>30479</xdr:colOff>
      <xdr:row>2</xdr:row>
      <xdr:rowOff>21020</xdr:rowOff>
    </xdr:to>
    <xdr:sp macro="" textlink="$I$5">
      <xdr:nvSpPr>
        <xdr:cNvPr id="24" name="TextBox 23">
          <a:extLst>
            <a:ext uri="{FF2B5EF4-FFF2-40B4-BE49-F238E27FC236}">
              <a16:creationId xmlns:a16="http://schemas.microsoft.com/office/drawing/2014/main" id="{3919BF19-B778-4E8F-8094-FB6939575608}"/>
            </a:ext>
          </a:extLst>
        </xdr:cNvPr>
        <xdr:cNvSpPr txBox="1"/>
      </xdr:nvSpPr>
      <xdr:spPr>
        <a:xfrm>
          <a:off x="10408920" y="136634"/>
          <a:ext cx="1470659" cy="25014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0CE7C42-3221-4D91-B0E5-69AF3A2979D1}" type="TxLink">
            <a:rPr lang="en-US" sz="1800" b="1" i="0" u="none" strike="noStrike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May</a:t>
          </a:fld>
          <a:endParaRPr lang="en-IN" sz="18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332400</xdr:colOff>
      <xdr:row>0</xdr:row>
      <xdr:rowOff>100435</xdr:rowOff>
    </xdr:from>
    <xdr:to>
      <xdr:col>25</xdr:col>
      <xdr:colOff>309626</xdr:colOff>
      <xdr:row>2</xdr:row>
      <xdr:rowOff>20878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D3C3F2C-D256-46AE-8213-BDE9A3FAB10A}"/>
            </a:ext>
          </a:extLst>
        </xdr:cNvPr>
        <xdr:cNvSpPr txBox="1"/>
      </xdr:nvSpPr>
      <xdr:spPr>
        <a:xfrm>
          <a:off x="12524400" y="100435"/>
          <a:ext cx="373466" cy="2862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🟢</a:t>
          </a:r>
          <a:endParaRPr lang="en-IN" sz="1100"/>
        </a:p>
      </xdr:txBody>
    </xdr:sp>
    <xdr:clientData/>
  </xdr:twoCellAnchor>
  <xdr:twoCellAnchor>
    <xdr:from>
      <xdr:col>25</xdr:col>
      <xdr:colOff>178676</xdr:colOff>
      <xdr:row>0</xdr:row>
      <xdr:rowOff>94593</xdr:rowOff>
    </xdr:from>
    <xdr:to>
      <xdr:col>28</xdr:col>
      <xdr:colOff>89338</xdr:colOff>
      <xdr:row>2</xdr:row>
      <xdr:rowOff>10510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A60DB71-3332-4122-8CF3-E4C3E4683691}"/>
            </a:ext>
          </a:extLst>
        </xdr:cNvPr>
        <xdr:cNvSpPr txBox="1"/>
      </xdr:nvSpPr>
      <xdr:spPr>
        <a:xfrm>
          <a:off x="12766916" y="94593"/>
          <a:ext cx="825062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Present</a:t>
          </a:r>
        </a:p>
      </xdr:txBody>
    </xdr:sp>
    <xdr:clientData/>
  </xdr:twoCellAnchor>
  <xdr:twoCellAnchor>
    <xdr:from>
      <xdr:col>29</xdr:col>
      <xdr:colOff>7901</xdr:colOff>
      <xdr:row>0</xdr:row>
      <xdr:rowOff>66223</xdr:rowOff>
    </xdr:from>
    <xdr:to>
      <xdr:col>30</xdr:col>
      <xdr:colOff>72571</xdr:colOff>
      <xdr:row>2</xdr:row>
      <xdr:rowOff>67388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3B9274E-1FC3-4CF1-BEAE-A545912E78F5}"/>
            </a:ext>
          </a:extLst>
        </xdr:cNvPr>
        <xdr:cNvSpPr txBox="1"/>
      </xdr:nvSpPr>
      <xdr:spPr>
        <a:xfrm>
          <a:off x="13868681" y="66223"/>
          <a:ext cx="438050" cy="366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aseline="0"/>
            <a:t>🔴</a:t>
          </a:r>
          <a:endParaRPr lang="en-IN" sz="1200"/>
        </a:p>
      </xdr:txBody>
    </xdr:sp>
    <xdr:clientData/>
  </xdr:twoCellAnchor>
  <xdr:twoCellAnchor>
    <xdr:from>
      <xdr:col>29</xdr:col>
      <xdr:colOff>297936</xdr:colOff>
      <xdr:row>0</xdr:row>
      <xdr:rowOff>99777</xdr:rowOff>
    </xdr:from>
    <xdr:to>
      <xdr:col>32</xdr:col>
      <xdr:colOff>11618</xdr:colOff>
      <xdr:row>2</xdr:row>
      <xdr:rowOff>15694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A3DE50F-EED1-43FA-BB9B-14790C20E1E8}"/>
            </a:ext>
          </a:extLst>
        </xdr:cNvPr>
        <xdr:cNvSpPr txBox="1"/>
      </xdr:nvSpPr>
      <xdr:spPr>
        <a:xfrm>
          <a:off x="14158716" y="99777"/>
          <a:ext cx="826202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Absent</a:t>
          </a:r>
        </a:p>
      </xdr:txBody>
    </xdr:sp>
    <xdr:clientData/>
  </xdr:twoCellAnchor>
  <xdr:twoCellAnchor>
    <xdr:from>
      <xdr:col>32</xdr:col>
      <xdr:colOff>315812</xdr:colOff>
      <xdr:row>0</xdr:row>
      <xdr:rowOff>83848</xdr:rowOff>
    </xdr:from>
    <xdr:to>
      <xdr:col>34</xdr:col>
      <xdr:colOff>136849</xdr:colOff>
      <xdr:row>2</xdr:row>
      <xdr:rowOff>85013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9F113F4-8008-4B1E-A38F-C34F812E551D}"/>
            </a:ext>
          </a:extLst>
        </xdr:cNvPr>
        <xdr:cNvSpPr txBox="1"/>
      </xdr:nvSpPr>
      <xdr:spPr>
        <a:xfrm>
          <a:off x="15289112" y="83848"/>
          <a:ext cx="438257" cy="366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/>
            <a:t>🟡</a:t>
          </a:r>
          <a:endParaRPr lang="en-IN" sz="1200"/>
        </a:p>
      </xdr:txBody>
    </xdr:sp>
    <xdr:clientData/>
  </xdr:twoCellAnchor>
  <xdr:twoCellAnchor>
    <xdr:from>
      <xdr:col>33</xdr:col>
      <xdr:colOff>175602</xdr:colOff>
      <xdr:row>0</xdr:row>
      <xdr:rowOff>117402</xdr:rowOff>
    </xdr:from>
    <xdr:to>
      <xdr:col>36</xdr:col>
      <xdr:colOff>86263</xdr:colOff>
      <xdr:row>2</xdr:row>
      <xdr:rowOff>33319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3E02D49-C6AF-4A69-AE65-1311CDC5815D}"/>
            </a:ext>
          </a:extLst>
        </xdr:cNvPr>
        <xdr:cNvSpPr txBox="1"/>
      </xdr:nvSpPr>
      <xdr:spPr>
        <a:xfrm>
          <a:off x="15507042" y="117402"/>
          <a:ext cx="825061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Leave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21771</xdr:colOff>
      <xdr:row>0</xdr:row>
      <xdr:rowOff>10887</xdr:rowOff>
    </xdr:from>
    <xdr:to>
      <xdr:col>42</xdr:col>
      <xdr:colOff>31750</xdr:colOff>
      <xdr:row>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D13FD67-FED5-4715-9086-8BAE40F3EEB6}"/>
            </a:ext>
          </a:extLst>
        </xdr:cNvPr>
        <xdr:cNvSpPr/>
      </xdr:nvSpPr>
      <xdr:spPr>
        <a:xfrm>
          <a:off x="1850571" y="10887"/>
          <a:ext cx="16766359" cy="537753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21771</xdr:colOff>
      <xdr:row>41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9492FCB-4D6F-4E8F-92A6-BE7399FC0220}"/>
            </a:ext>
          </a:extLst>
        </xdr:cNvPr>
        <xdr:cNvSpPr/>
      </xdr:nvSpPr>
      <xdr:spPr>
        <a:xfrm>
          <a:off x="0" y="0"/>
          <a:ext cx="1850571" cy="78486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2</xdr:row>
      <xdr:rowOff>138357</xdr:rowOff>
    </xdr:from>
    <xdr:to>
      <xdr:col>3</xdr:col>
      <xdr:colOff>272143</xdr:colOff>
      <xdr:row>5</xdr:row>
      <xdr:rowOff>105699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B163C8-8CBF-4168-8D3D-D114CB45EFCE}"/>
            </a:ext>
          </a:extLst>
        </xdr:cNvPr>
        <xdr:cNvSpPr/>
      </xdr:nvSpPr>
      <xdr:spPr>
        <a:xfrm>
          <a:off x="0" y="513111"/>
          <a:ext cx="2108438" cy="529473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0</xdr:colOff>
      <xdr:row>6</xdr:row>
      <xdr:rowOff>67355</xdr:rowOff>
    </xdr:from>
    <xdr:to>
      <xdr:col>3</xdr:col>
      <xdr:colOff>272143</xdr:colOff>
      <xdr:row>8</xdr:row>
      <xdr:rowOff>95932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9962872-62F7-42C1-919F-3688F97C0F7B}"/>
            </a:ext>
          </a:extLst>
        </xdr:cNvPr>
        <xdr:cNvSpPr/>
      </xdr:nvSpPr>
      <xdr:spPr>
        <a:xfrm>
          <a:off x="0" y="1164635"/>
          <a:ext cx="2100943" cy="432437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February</a:t>
          </a:r>
        </a:p>
      </xdr:txBody>
    </xdr:sp>
    <xdr:clientData/>
  </xdr:twoCellAnchor>
  <xdr:twoCellAnchor>
    <xdr:from>
      <xdr:col>0</xdr:col>
      <xdr:colOff>0</xdr:colOff>
      <xdr:row>9</xdr:row>
      <xdr:rowOff>52389</xdr:rowOff>
    </xdr:from>
    <xdr:to>
      <xdr:col>3</xdr:col>
      <xdr:colOff>272143</xdr:colOff>
      <xdr:row>11</xdr:row>
      <xdr:rowOff>128589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FDBCC5F-E847-4C1C-84C7-C81219BE2F80}"/>
            </a:ext>
          </a:extLst>
        </xdr:cNvPr>
        <xdr:cNvSpPr/>
      </xdr:nvSpPr>
      <xdr:spPr>
        <a:xfrm>
          <a:off x="0" y="1751649"/>
          <a:ext cx="2100943" cy="472440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March</a:t>
          </a:r>
        </a:p>
      </xdr:txBody>
    </xdr:sp>
    <xdr:clientData/>
  </xdr:twoCellAnchor>
  <xdr:twoCellAnchor>
    <xdr:from>
      <xdr:col>0</xdr:col>
      <xdr:colOff>0</xdr:colOff>
      <xdr:row>25</xdr:row>
      <xdr:rowOff>8849</xdr:rowOff>
    </xdr:from>
    <xdr:to>
      <xdr:col>3</xdr:col>
      <xdr:colOff>272143</xdr:colOff>
      <xdr:row>27</xdr:row>
      <xdr:rowOff>85048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78158C1-18C6-44F4-AF51-50CBE86F7084}"/>
            </a:ext>
          </a:extLst>
        </xdr:cNvPr>
        <xdr:cNvSpPr/>
      </xdr:nvSpPr>
      <xdr:spPr>
        <a:xfrm>
          <a:off x="0" y="4878029"/>
          <a:ext cx="2100943" cy="472439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August</a:t>
          </a:r>
        </a:p>
      </xdr:txBody>
    </xdr:sp>
    <xdr:clientData/>
  </xdr:twoCellAnchor>
  <xdr:twoCellAnchor>
    <xdr:from>
      <xdr:col>0</xdr:col>
      <xdr:colOff>0</xdr:colOff>
      <xdr:row>28</xdr:row>
      <xdr:rowOff>41504</xdr:rowOff>
    </xdr:from>
    <xdr:to>
      <xdr:col>3</xdr:col>
      <xdr:colOff>272143</xdr:colOff>
      <xdr:row>30</xdr:row>
      <xdr:rowOff>165329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67F9C31-4A3C-494F-8168-1FBFD456E502}"/>
            </a:ext>
          </a:extLst>
        </xdr:cNvPr>
        <xdr:cNvSpPr/>
      </xdr:nvSpPr>
      <xdr:spPr>
        <a:xfrm>
          <a:off x="0" y="5512664"/>
          <a:ext cx="2100943" cy="48958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September</a:t>
          </a:r>
        </a:p>
      </xdr:txBody>
    </xdr:sp>
    <xdr:clientData/>
  </xdr:twoCellAnchor>
  <xdr:twoCellAnchor>
    <xdr:from>
      <xdr:col>0</xdr:col>
      <xdr:colOff>0</xdr:colOff>
      <xdr:row>31</xdr:row>
      <xdr:rowOff>110900</xdr:rowOff>
    </xdr:from>
    <xdr:to>
      <xdr:col>3</xdr:col>
      <xdr:colOff>272143</xdr:colOff>
      <xdr:row>34</xdr:row>
      <xdr:rowOff>8506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055EDC7-2ACE-42A2-B0AB-C487C9BCF311}"/>
            </a:ext>
          </a:extLst>
        </xdr:cNvPr>
        <xdr:cNvSpPr/>
      </xdr:nvSpPr>
      <xdr:spPr>
        <a:xfrm>
          <a:off x="0" y="6130700"/>
          <a:ext cx="2100943" cy="446246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October</a:t>
          </a:r>
        </a:p>
      </xdr:txBody>
    </xdr:sp>
    <xdr:clientData/>
  </xdr:twoCellAnchor>
  <xdr:twoCellAnchor>
    <xdr:from>
      <xdr:col>0</xdr:col>
      <xdr:colOff>0</xdr:colOff>
      <xdr:row>34</xdr:row>
      <xdr:rowOff>132671</xdr:rowOff>
    </xdr:from>
    <xdr:to>
      <xdr:col>3</xdr:col>
      <xdr:colOff>272143</xdr:colOff>
      <xdr:row>37</xdr:row>
      <xdr:rowOff>23815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0ED1B22-4997-4F99-BF71-6B44E8D5CAC2}"/>
            </a:ext>
          </a:extLst>
        </xdr:cNvPr>
        <xdr:cNvSpPr/>
      </xdr:nvSpPr>
      <xdr:spPr>
        <a:xfrm>
          <a:off x="0" y="6701111"/>
          <a:ext cx="2100943" cy="439784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November</a:t>
          </a:r>
        </a:p>
      </xdr:txBody>
    </xdr:sp>
    <xdr:clientData/>
  </xdr:twoCellAnchor>
  <xdr:twoCellAnchor>
    <xdr:from>
      <xdr:col>0</xdr:col>
      <xdr:colOff>0</xdr:colOff>
      <xdr:row>37</xdr:row>
      <xdr:rowOff>154442</xdr:rowOff>
    </xdr:from>
    <xdr:to>
      <xdr:col>3</xdr:col>
      <xdr:colOff>272143</xdr:colOff>
      <xdr:row>40</xdr:row>
      <xdr:rowOff>45587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5BC36CC-8A75-4FE6-BF30-2AB2F431F52A}"/>
            </a:ext>
          </a:extLst>
        </xdr:cNvPr>
        <xdr:cNvSpPr/>
      </xdr:nvSpPr>
      <xdr:spPr>
        <a:xfrm>
          <a:off x="0" y="7271522"/>
          <a:ext cx="2100943" cy="43978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December</a:t>
          </a:r>
        </a:p>
      </xdr:txBody>
    </xdr:sp>
    <xdr:clientData/>
  </xdr:twoCellAnchor>
  <xdr:twoCellAnchor>
    <xdr:from>
      <xdr:col>0</xdr:col>
      <xdr:colOff>312295</xdr:colOff>
      <xdr:row>18</xdr:row>
      <xdr:rowOff>128590</xdr:rowOff>
    </xdr:from>
    <xdr:to>
      <xdr:col>3</xdr:col>
      <xdr:colOff>584438</xdr:colOff>
      <xdr:row>21</xdr:row>
      <xdr:rowOff>19734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C2E8E83-B2AF-4174-AAEF-715C970F6D52}"/>
            </a:ext>
          </a:extLst>
        </xdr:cNvPr>
        <xdr:cNvSpPr/>
      </xdr:nvSpPr>
      <xdr:spPr>
        <a:xfrm>
          <a:off x="312295" y="3651279"/>
          <a:ext cx="2108438" cy="490750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June</a:t>
          </a:r>
        </a:p>
      </xdr:txBody>
    </xdr:sp>
    <xdr:clientData/>
  </xdr:twoCellAnchor>
  <xdr:twoCellAnchor>
    <xdr:from>
      <xdr:col>0</xdr:col>
      <xdr:colOff>0</xdr:colOff>
      <xdr:row>15</xdr:row>
      <xdr:rowOff>95932</xdr:rowOff>
    </xdr:from>
    <xdr:to>
      <xdr:col>3</xdr:col>
      <xdr:colOff>272143</xdr:colOff>
      <xdr:row>17</xdr:row>
      <xdr:rowOff>189483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6C769F2-78BD-41A2-B7C4-9D61DB60EE9E}"/>
            </a:ext>
          </a:extLst>
        </xdr:cNvPr>
        <xdr:cNvSpPr/>
      </xdr:nvSpPr>
      <xdr:spPr>
        <a:xfrm>
          <a:off x="0" y="2983912"/>
          <a:ext cx="2100943" cy="489791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May</a:t>
          </a:r>
        </a:p>
      </xdr:txBody>
    </xdr:sp>
    <xdr:clientData/>
  </xdr:twoCellAnchor>
  <xdr:twoCellAnchor>
    <xdr:from>
      <xdr:col>0</xdr:col>
      <xdr:colOff>0</xdr:colOff>
      <xdr:row>12</xdr:row>
      <xdr:rowOff>74163</xdr:rowOff>
    </xdr:from>
    <xdr:to>
      <xdr:col>3</xdr:col>
      <xdr:colOff>272143</xdr:colOff>
      <xdr:row>14</xdr:row>
      <xdr:rowOff>150362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7CD914B-C465-4521-800D-AC3743970B7C}"/>
            </a:ext>
          </a:extLst>
        </xdr:cNvPr>
        <xdr:cNvSpPr/>
      </xdr:nvSpPr>
      <xdr:spPr>
        <a:xfrm>
          <a:off x="0" y="2367783"/>
          <a:ext cx="2100943" cy="472439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April</a:t>
          </a:r>
        </a:p>
      </xdr:txBody>
    </xdr:sp>
    <xdr:clientData/>
  </xdr:twoCellAnchor>
  <xdr:twoCellAnchor>
    <xdr:from>
      <xdr:col>0</xdr:col>
      <xdr:colOff>0</xdr:colOff>
      <xdr:row>21</xdr:row>
      <xdr:rowOff>178596</xdr:rowOff>
    </xdr:from>
    <xdr:to>
      <xdr:col>3</xdr:col>
      <xdr:colOff>272143</xdr:colOff>
      <xdr:row>24</xdr:row>
      <xdr:rowOff>52391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B0541D0-1D90-4E9A-AF24-FE26E2C95C52}"/>
            </a:ext>
          </a:extLst>
        </xdr:cNvPr>
        <xdr:cNvSpPr/>
      </xdr:nvSpPr>
      <xdr:spPr>
        <a:xfrm>
          <a:off x="0" y="4255296"/>
          <a:ext cx="2100943" cy="46815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July</a:t>
          </a:r>
        </a:p>
      </xdr:txBody>
    </xdr:sp>
    <xdr:clientData/>
  </xdr:twoCellAnchor>
  <xdr:twoCellAnchor>
    <xdr:from>
      <xdr:col>42</xdr:col>
      <xdr:colOff>599440</xdr:colOff>
      <xdr:row>0</xdr:row>
      <xdr:rowOff>20320</xdr:rowOff>
    </xdr:from>
    <xdr:to>
      <xdr:col>57</xdr:col>
      <xdr:colOff>0</xdr:colOff>
      <xdr:row>3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61394E0-E37A-46BD-836C-19EBDF90B7C9}"/>
            </a:ext>
          </a:extLst>
        </xdr:cNvPr>
        <xdr:cNvSpPr/>
      </xdr:nvSpPr>
      <xdr:spPr>
        <a:xfrm>
          <a:off x="19184620" y="20320"/>
          <a:ext cx="11760200" cy="528320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3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Monthly Report</a:t>
          </a:r>
        </a:p>
      </xdr:txBody>
    </xdr:sp>
    <xdr:clientData/>
  </xdr:twoCellAnchor>
  <xdr:twoCellAnchor>
    <xdr:from>
      <xdr:col>4</xdr:col>
      <xdr:colOff>441434</xdr:colOff>
      <xdr:row>0</xdr:row>
      <xdr:rowOff>105103</xdr:rowOff>
    </xdr:from>
    <xdr:to>
      <xdr:col>5</xdr:col>
      <xdr:colOff>520262</xdr:colOff>
      <xdr:row>1</xdr:row>
      <xdr:rowOff>152400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9E6CCF2-46A6-4F25-91C2-E79730267C04}"/>
            </a:ext>
          </a:extLst>
        </xdr:cNvPr>
        <xdr:cNvSpPr txBox="1"/>
      </xdr:nvSpPr>
      <xdr:spPr>
        <a:xfrm>
          <a:off x="2879834" y="105103"/>
          <a:ext cx="688428" cy="23017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5</xdr:col>
      <xdr:colOff>525518</xdr:colOff>
      <xdr:row>0</xdr:row>
      <xdr:rowOff>105102</xdr:rowOff>
    </xdr:from>
    <xdr:to>
      <xdr:col>7</xdr:col>
      <xdr:colOff>178676</xdr:colOff>
      <xdr:row>1</xdr:row>
      <xdr:rowOff>147144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BD7A759C-1AD8-4014-B597-279B9A24552C}"/>
            </a:ext>
          </a:extLst>
        </xdr:cNvPr>
        <xdr:cNvSpPr txBox="1"/>
      </xdr:nvSpPr>
      <xdr:spPr>
        <a:xfrm>
          <a:off x="3573518" y="105102"/>
          <a:ext cx="925698" cy="2249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48BF154-D853-4C06-8A77-CF8B6B6C4045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01-Jun-2025</a:t>
          </a:fld>
          <a:endParaRPr lang="en-IN" sz="1100" b="1"/>
        </a:p>
      </xdr:txBody>
    </xdr:sp>
    <xdr:clientData/>
  </xdr:twoCellAnchor>
  <xdr:twoCellAnchor>
    <xdr:from>
      <xdr:col>7</xdr:col>
      <xdr:colOff>289034</xdr:colOff>
      <xdr:row>0</xdr:row>
      <xdr:rowOff>105102</xdr:rowOff>
    </xdr:from>
    <xdr:to>
      <xdr:col>7</xdr:col>
      <xdr:colOff>977462</xdr:colOff>
      <xdr:row>1</xdr:row>
      <xdr:rowOff>152400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A6DCCEF-6204-4C9C-8EDC-73C1B37A504A}"/>
            </a:ext>
          </a:extLst>
        </xdr:cNvPr>
        <xdr:cNvSpPr txBox="1"/>
      </xdr:nvSpPr>
      <xdr:spPr>
        <a:xfrm>
          <a:off x="4609574" y="105102"/>
          <a:ext cx="688428" cy="23017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982718</xdr:colOff>
      <xdr:row>0</xdr:row>
      <xdr:rowOff>105102</xdr:rowOff>
    </xdr:from>
    <xdr:to>
      <xdr:col>8</xdr:col>
      <xdr:colOff>888125</xdr:colOff>
      <xdr:row>1</xdr:row>
      <xdr:rowOff>152400</xdr:rowOff>
    </xdr:to>
    <xdr:sp macro="" textlink="$H$6">
      <xdr:nvSpPr>
        <xdr:cNvPr id="20" name="TextBox 19">
          <a:extLst>
            <a:ext uri="{FF2B5EF4-FFF2-40B4-BE49-F238E27FC236}">
              <a16:creationId xmlns:a16="http://schemas.microsoft.com/office/drawing/2014/main" id="{FA8BAC9F-D655-4833-A4FE-FB22F1BE25AC}"/>
            </a:ext>
          </a:extLst>
        </xdr:cNvPr>
        <xdr:cNvSpPr txBox="1"/>
      </xdr:nvSpPr>
      <xdr:spPr>
        <a:xfrm>
          <a:off x="5303258" y="105102"/>
          <a:ext cx="926487" cy="2301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C149F28-0450-43B5-AA89-70F407C47701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30-Jun-2025</a:t>
          </a:fld>
          <a:endParaRPr lang="en-IN" sz="1100" b="1"/>
        </a:p>
      </xdr:txBody>
    </xdr:sp>
    <xdr:clientData/>
  </xdr:twoCellAnchor>
  <xdr:twoCellAnchor>
    <xdr:from>
      <xdr:col>8</xdr:col>
      <xdr:colOff>1381124</xdr:colOff>
      <xdr:row>0</xdr:row>
      <xdr:rowOff>76199</xdr:rowOff>
    </xdr:from>
    <xdr:to>
      <xdr:col>23</xdr:col>
      <xdr:colOff>99060</xdr:colOff>
      <xdr:row>2</xdr:row>
      <xdr:rowOff>83342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0399EFE-7B5D-4D5B-82D9-D09C79937031}"/>
            </a:ext>
          </a:extLst>
        </xdr:cNvPr>
        <xdr:cNvSpPr txBox="1"/>
      </xdr:nvSpPr>
      <xdr:spPr>
        <a:xfrm>
          <a:off x="6722744" y="76199"/>
          <a:ext cx="5225416" cy="372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655007</xdr:colOff>
      <xdr:row>0</xdr:row>
      <xdr:rowOff>105268</xdr:rowOff>
    </xdr:from>
    <xdr:to>
      <xdr:col>18</xdr:col>
      <xdr:colOff>140084</xdr:colOff>
      <xdr:row>2</xdr:row>
      <xdr:rowOff>52879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9948209-8CA2-496F-8849-E346DDBE7C0E}"/>
            </a:ext>
          </a:extLst>
        </xdr:cNvPr>
        <xdr:cNvSpPr txBox="1"/>
      </xdr:nvSpPr>
      <xdr:spPr>
        <a:xfrm>
          <a:off x="7383467" y="105268"/>
          <a:ext cx="2959797" cy="3133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>
              <a:latin typeface="Times New Roman" panose="02020603050405020304" pitchFamily="18" charset="0"/>
              <a:cs typeface="Times New Roman" panose="02020603050405020304" pitchFamily="18" charset="0"/>
            </a:rPr>
            <a:t>Dashboard For</a:t>
          </a:r>
          <a:r>
            <a:rPr lang="en-IN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 the Month of</a:t>
          </a:r>
          <a:r>
            <a:rPr lang="en-IN" sz="18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 editAs="oneCell">
    <xdr:from>
      <xdr:col>9</xdr:col>
      <xdr:colOff>95805</xdr:colOff>
      <xdr:row>0</xdr:row>
      <xdr:rowOff>69126</xdr:rowOff>
    </xdr:from>
    <xdr:to>
      <xdr:col>9</xdr:col>
      <xdr:colOff>483475</xdr:colOff>
      <xdr:row>2</xdr:row>
      <xdr:rowOff>81857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A9DB2B2E-65F0-42C8-A2B3-94450B7AE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824265" y="69126"/>
          <a:ext cx="387670" cy="378491"/>
        </a:xfrm>
        <a:prstGeom prst="rect">
          <a:avLst/>
        </a:prstGeom>
      </xdr:spPr>
    </xdr:pic>
    <xdr:clientData/>
  </xdr:twoCellAnchor>
  <xdr:twoCellAnchor>
    <xdr:from>
      <xdr:col>18</xdr:col>
      <xdr:colOff>205740</xdr:colOff>
      <xdr:row>0</xdr:row>
      <xdr:rowOff>136634</xdr:rowOff>
    </xdr:from>
    <xdr:to>
      <xdr:col>23</xdr:col>
      <xdr:colOff>30479</xdr:colOff>
      <xdr:row>2</xdr:row>
      <xdr:rowOff>21020</xdr:rowOff>
    </xdr:to>
    <xdr:sp macro="" textlink="$I$5">
      <xdr:nvSpPr>
        <xdr:cNvPr id="24" name="TextBox 23">
          <a:extLst>
            <a:ext uri="{FF2B5EF4-FFF2-40B4-BE49-F238E27FC236}">
              <a16:creationId xmlns:a16="http://schemas.microsoft.com/office/drawing/2014/main" id="{06596676-F652-413D-94EE-312690C45224}"/>
            </a:ext>
          </a:extLst>
        </xdr:cNvPr>
        <xdr:cNvSpPr txBox="1"/>
      </xdr:nvSpPr>
      <xdr:spPr>
        <a:xfrm>
          <a:off x="10408920" y="136634"/>
          <a:ext cx="1470659" cy="25014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0CE7C42-3221-4D91-B0E5-69AF3A2979D1}" type="TxLink">
            <a:rPr lang="en-US" sz="1800" b="1" i="0" u="none" strike="noStrike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June</a:t>
          </a:fld>
          <a:endParaRPr lang="en-IN" sz="18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332400</xdr:colOff>
      <xdr:row>0</xdr:row>
      <xdr:rowOff>100435</xdr:rowOff>
    </xdr:from>
    <xdr:to>
      <xdr:col>25</xdr:col>
      <xdr:colOff>309626</xdr:colOff>
      <xdr:row>2</xdr:row>
      <xdr:rowOff>20878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D7AAC71-7BA5-4329-9D60-10432DB0698F}"/>
            </a:ext>
          </a:extLst>
        </xdr:cNvPr>
        <xdr:cNvSpPr txBox="1"/>
      </xdr:nvSpPr>
      <xdr:spPr>
        <a:xfrm>
          <a:off x="12524400" y="100435"/>
          <a:ext cx="373466" cy="2862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🟢</a:t>
          </a:r>
          <a:endParaRPr lang="en-IN" sz="1100"/>
        </a:p>
      </xdr:txBody>
    </xdr:sp>
    <xdr:clientData/>
  </xdr:twoCellAnchor>
  <xdr:twoCellAnchor>
    <xdr:from>
      <xdr:col>25</xdr:col>
      <xdr:colOff>178676</xdr:colOff>
      <xdr:row>0</xdr:row>
      <xdr:rowOff>94593</xdr:rowOff>
    </xdr:from>
    <xdr:to>
      <xdr:col>28</xdr:col>
      <xdr:colOff>89338</xdr:colOff>
      <xdr:row>2</xdr:row>
      <xdr:rowOff>10510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F5A68B6-E6C5-41BA-8AF0-C29126999FF7}"/>
            </a:ext>
          </a:extLst>
        </xdr:cNvPr>
        <xdr:cNvSpPr txBox="1"/>
      </xdr:nvSpPr>
      <xdr:spPr>
        <a:xfrm>
          <a:off x="12766916" y="94593"/>
          <a:ext cx="825062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Present</a:t>
          </a:r>
        </a:p>
      </xdr:txBody>
    </xdr:sp>
    <xdr:clientData/>
  </xdr:twoCellAnchor>
  <xdr:twoCellAnchor>
    <xdr:from>
      <xdr:col>29</xdr:col>
      <xdr:colOff>7901</xdr:colOff>
      <xdr:row>0</xdr:row>
      <xdr:rowOff>66223</xdr:rowOff>
    </xdr:from>
    <xdr:to>
      <xdr:col>30</xdr:col>
      <xdr:colOff>72571</xdr:colOff>
      <xdr:row>2</xdr:row>
      <xdr:rowOff>67388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2FFB824-1B0D-42E1-8050-216CE772F2C0}"/>
            </a:ext>
          </a:extLst>
        </xdr:cNvPr>
        <xdr:cNvSpPr txBox="1"/>
      </xdr:nvSpPr>
      <xdr:spPr>
        <a:xfrm>
          <a:off x="13868681" y="66223"/>
          <a:ext cx="438050" cy="366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aseline="0"/>
            <a:t>🔴</a:t>
          </a:r>
          <a:endParaRPr lang="en-IN" sz="1200"/>
        </a:p>
      </xdr:txBody>
    </xdr:sp>
    <xdr:clientData/>
  </xdr:twoCellAnchor>
  <xdr:twoCellAnchor>
    <xdr:from>
      <xdr:col>29</xdr:col>
      <xdr:colOff>297936</xdr:colOff>
      <xdr:row>0</xdr:row>
      <xdr:rowOff>99777</xdr:rowOff>
    </xdr:from>
    <xdr:to>
      <xdr:col>32</xdr:col>
      <xdr:colOff>11618</xdr:colOff>
      <xdr:row>2</xdr:row>
      <xdr:rowOff>15694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D37C7C5-C8DC-46F6-996B-D434E015CD00}"/>
            </a:ext>
          </a:extLst>
        </xdr:cNvPr>
        <xdr:cNvSpPr txBox="1"/>
      </xdr:nvSpPr>
      <xdr:spPr>
        <a:xfrm>
          <a:off x="14158716" y="99777"/>
          <a:ext cx="826202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Absent</a:t>
          </a:r>
        </a:p>
      </xdr:txBody>
    </xdr:sp>
    <xdr:clientData/>
  </xdr:twoCellAnchor>
  <xdr:twoCellAnchor>
    <xdr:from>
      <xdr:col>32</xdr:col>
      <xdr:colOff>315812</xdr:colOff>
      <xdr:row>0</xdr:row>
      <xdr:rowOff>83848</xdr:rowOff>
    </xdr:from>
    <xdr:to>
      <xdr:col>34</xdr:col>
      <xdr:colOff>136849</xdr:colOff>
      <xdr:row>2</xdr:row>
      <xdr:rowOff>85013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2BC9E18-8CDE-4147-8FB2-D9233DBA6AB8}"/>
            </a:ext>
          </a:extLst>
        </xdr:cNvPr>
        <xdr:cNvSpPr txBox="1"/>
      </xdr:nvSpPr>
      <xdr:spPr>
        <a:xfrm>
          <a:off x="15289112" y="83848"/>
          <a:ext cx="438257" cy="366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/>
            <a:t>🟡</a:t>
          </a:r>
          <a:endParaRPr lang="en-IN" sz="1200"/>
        </a:p>
      </xdr:txBody>
    </xdr:sp>
    <xdr:clientData/>
  </xdr:twoCellAnchor>
  <xdr:twoCellAnchor>
    <xdr:from>
      <xdr:col>33</xdr:col>
      <xdr:colOff>175602</xdr:colOff>
      <xdr:row>0</xdr:row>
      <xdr:rowOff>117402</xdr:rowOff>
    </xdr:from>
    <xdr:to>
      <xdr:col>36</xdr:col>
      <xdr:colOff>86263</xdr:colOff>
      <xdr:row>2</xdr:row>
      <xdr:rowOff>33319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50CCE23-5C81-4FE4-856A-A94DC9831161}"/>
            </a:ext>
          </a:extLst>
        </xdr:cNvPr>
        <xdr:cNvSpPr txBox="1"/>
      </xdr:nvSpPr>
      <xdr:spPr>
        <a:xfrm>
          <a:off x="15507042" y="117402"/>
          <a:ext cx="825061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Leave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21771</xdr:colOff>
      <xdr:row>0</xdr:row>
      <xdr:rowOff>10887</xdr:rowOff>
    </xdr:from>
    <xdr:to>
      <xdr:col>42</xdr:col>
      <xdr:colOff>31750</xdr:colOff>
      <xdr:row>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FBB7FC9-D17B-4E5D-A26B-78F99A4DCEA1}"/>
            </a:ext>
          </a:extLst>
        </xdr:cNvPr>
        <xdr:cNvSpPr/>
      </xdr:nvSpPr>
      <xdr:spPr>
        <a:xfrm>
          <a:off x="1850571" y="10887"/>
          <a:ext cx="16766359" cy="537753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21771</xdr:colOff>
      <xdr:row>41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C9DF3B9-2F0C-4D4D-A7F1-53D0E945D553}"/>
            </a:ext>
          </a:extLst>
        </xdr:cNvPr>
        <xdr:cNvSpPr/>
      </xdr:nvSpPr>
      <xdr:spPr>
        <a:xfrm>
          <a:off x="0" y="0"/>
          <a:ext cx="1850571" cy="78486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2</xdr:row>
      <xdr:rowOff>115281</xdr:rowOff>
    </xdr:from>
    <xdr:to>
      <xdr:col>3</xdr:col>
      <xdr:colOff>272143</xdr:colOff>
      <xdr:row>5</xdr:row>
      <xdr:rowOff>82623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853BD5-6AF3-4924-ABAA-0DFB0AEF84D4}"/>
            </a:ext>
          </a:extLst>
        </xdr:cNvPr>
        <xdr:cNvSpPr/>
      </xdr:nvSpPr>
      <xdr:spPr>
        <a:xfrm>
          <a:off x="0" y="475114"/>
          <a:ext cx="2113643" cy="507092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0</xdr:colOff>
      <xdr:row>6</xdr:row>
      <xdr:rowOff>67355</xdr:rowOff>
    </xdr:from>
    <xdr:to>
      <xdr:col>3</xdr:col>
      <xdr:colOff>272143</xdr:colOff>
      <xdr:row>8</xdr:row>
      <xdr:rowOff>95932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2CA3CF-096C-4ADD-A8A6-1D6FA6306174}"/>
            </a:ext>
          </a:extLst>
        </xdr:cNvPr>
        <xdr:cNvSpPr/>
      </xdr:nvSpPr>
      <xdr:spPr>
        <a:xfrm>
          <a:off x="0" y="1164635"/>
          <a:ext cx="2100943" cy="432437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February</a:t>
          </a:r>
        </a:p>
      </xdr:txBody>
    </xdr:sp>
    <xdr:clientData/>
  </xdr:twoCellAnchor>
  <xdr:twoCellAnchor>
    <xdr:from>
      <xdr:col>0</xdr:col>
      <xdr:colOff>0</xdr:colOff>
      <xdr:row>9</xdr:row>
      <xdr:rowOff>52389</xdr:rowOff>
    </xdr:from>
    <xdr:to>
      <xdr:col>3</xdr:col>
      <xdr:colOff>272143</xdr:colOff>
      <xdr:row>11</xdr:row>
      <xdr:rowOff>128589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7709579-84EF-4C09-B97E-A9CDAB16D5BC}"/>
            </a:ext>
          </a:extLst>
        </xdr:cNvPr>
        <xdr:cNvSpPr/>
      </xdr:nvSpPr>
      <xdr:spPr>
        <a:xfrm>
          <a:off x="0" y="1751649"/>
          <a:ext cx="2100943" cy="472440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March</a:t>
          </a:r>
        </a:p>
      </xdr:txBody>
    </xdr:sp>
    <xdr:clientData/>
  </xdr:twoCellAnchor>
  <xdr:twoCellAnchor>
    <xdr:from>
      <xdr:col>0</xdr:col>
      <xdr:colOff>0</xdr:colOff>
      <xdr:row>25</xdr:row>
      <xdr:rowOff>8849</xdr:rowOff>
    </xdr:from>
    <xdr:to>
      <xdr:col>3</xdr:col>
      <xdr:colOff>272143</xdr:colOff>
      <xdr:row>27</xdr:row>
      <xdr:rowOff>85048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E0C6A3F-A33B-4636-B1E0-7E29BC7D2FCF}"/>
            </a:ext>
          </a:extLst>
        </xdr:cNvPr>
        <xdr:cNvSpPr/>
      </xdr:nvSpPr>
      <xdr:spPr>
        <a:xfrm>
          <a:off x="0" y="4878029"/>
          <a:ext cx="2100943" cy="472439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August</a:t>
          </a:r>
        </a:p>
      </xdr:txBody>
    </xdr:sp>
    <xdr:clientData/>
  </xdr:twoCellAnchor>
  <xdr:twoCellAnchor>
    <xdr:from>
      <xdr:col>0</xdr:col>
      <xdr:colOff>0</xdr:colOff>
      <xdr:row>28</xdr:row>
      <xdr:rowOff>41504</xdr:rowOff>
    </xdr:from>
    <xdr:to>
      <xdr:col>3</xdr:col>
      <xdr:colOff>272143</xdr:colOff>
      <xdr:row>30</xdr:row>
      <xdr:rowOff>165329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7782F5F-6C40-49A0-BF49-E82D9097B6CB}"/>
            </a:ext>
          </a:extLst>
        </xdr:cNvPr>
        <xdr:cNvSpPr/>
      </xdr:nvSpPr>
      <xdr:spPr>
        <a:xfrm>
          <a:off x="0" y="5512664"/>
          <a:ext cx="2100943" cy="48958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September</a:t>
          </a:r>
        </a:p>
      </xdr:txBody>
    </xdr:sp>
    <xdr:clientData/>
  </xdr:twoCellAnchor>
  <xdr:twoCellAnchor>
    <xdr:from>
      <xdr:col>0</xdr:col>
      <xdr:colOff>0</xdr:colOff>
      <xdr:row>31</xdr:row>
      <xdr:rowOff>110900</xdr:rowOff>
    </xdr:from>
    <xdr:to>
      <xdr:col>3</xdr:col>
      <xdr:colOff>272143</xdr:colOff>
      <xdr:row>34</xdr:row>
      <xdr:rowOff>8506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1A4778C-93A5-4D70-8518-9767E65F218F}"/>
            </a:ext>
          </a:extLst>
        </xdr:cNvPr>
        <xdr:cNvSpPr/>
      </xdr:nvSpPr>
      <xdr:spPr>
        <a:xfrm>
          <a:off x="0" y="6130700"/>
          <a:ext cx="2100943" cy="446246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October</a:t>
          </a:r>
        </a:p>
      </xdr:txBody>
    </xdr:sp>
    <xdr:clientData/>
  </xdr:twoCellAnchor>
  <xdr:twoCellAnchor>
    <xdr:from>
      <xdr:col>0</xdr:col>
      <xdr:colOff>0</xdr:colOff>
      <xdr:row>34</xdr:row>
      <xdr:rowOff>132671</xdr:rowOff>
    </xdr:from>
    <xdr:to>
      <xdr:col>3</xdr:col>
      <xdr:colOff>272143</xdr:colOff>
      <xdr:row>37</xdr:row>
      <xdr:rowOff>23815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DEB49D5-7A0A-422D-862A-3C42A7261693}"/>
            </a:ext>
          </a:extLst>
        </xdr:cNvPr>
        <xdr:cNvSpPr/>
      </xdr:nvSpPr>
      <xdr:spPr>
        <a:xfrm>
          <a:off x="0" y="6701111"/>
          <a:ext cx="2100943" cy="439784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November</a:t>
          </a:r>
        </a:p>
      </xdr:txBody>
    </xdr:sp>
    <xdr:clientData/>
  </xdr:twoCellAnchor>
  <xdr:twoCellAnchor>
    <xdr:from>
      <xdr:col>0</xdr:col>
      <xdr:colOff>0</xdr:colOff>
      <xdr:row>37</xdr:row>
      <xdr:rowOff>154442</xdr:rowOff>
    </xdr:from>
    <xdr:to>
      <xdr:col>3</xdr:col>
      <xdr:colOff>272143</xdr:colOff>
      <xdr:row>40</xdr:row>
      <xdr:rowOff>45587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F70B9CE-C6A7-44B0-8EB3-F1F65F43DA7F}"/>
            </a:ext>
          </a:extLst>
        </xdr:cNvPr>
        <xdr:cNvSpPr/>
      </xdr:nvSpPr>
      <xdr:spPr>
        <a:xfrm>
          <a:off x="0" y="7271522"/>
          <a:ext cx="2100943" cy="43978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December</a:t>
          </a:r>
        </a:p>
      </xdr:txBody>
    </xdr:sp>
    <xdr:clientData/>
  </xdr:twoCellAnchor>
  <xdr:twoCellAnchor>
    <xdr:from>
      <xdr:col>0</xdr:col>
      <xdr:colOff>0</xdr:colOff>
      <xdr:row>18</xdr:row>
      <xdr:rowOff>128590</xdr:rowOff>
    </xdr:from>
    <xdr:to>
      <xdr:col>3</xdr:col>
      <xdr:colOff>272143</xdr:colOff>
      <xdr:row>21</xdr:row>
      <xdr:rowOff>19734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51E43E2-F471-450C-9885-FCF57DD89B3B}"/>
            </a:ext>
          </a:extLst>
        </xdr:cNvPr>
        <xdr:cNvSpPr/>
      </xdr:nvSpPr>
      <xdr:spPr>
        <a:xfrm>
          <a:off x="0" y="3610930"/>
          <a:ext cx="2100943" cy="485504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June</a:t>
          </a:r>
        </a:p>
      </xdr:txBody>
    </xdr:sp>
    <xdr:clientData/>
  </xdr:twoCellAnchor>
  <xdr:twoCellAnchor>
    <xdr:from>
      <xdr:col>0</xdr:col>
      <xdr:colOff>0</xdr:colOff>
      <xdr:row>15</xdr:row>
      <xdr:rowOff>95932</xdr:rowOff>
    </xdr:from>
    <xdr:to>
      <xdr:col>3</xdr:col>
      <xdr:colOff>272143</xdr:colOff>
      <xdr:row>17</xdr:row>
      <xdr:rowOff>189483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22A6CD9-929C-4CCA-9154-D48231B06451}"/>
            </a:ext>
          </a:extLst>
        </xdr:cNvPr>
        <xdr:cNvSpPr/>
      </xdr:nvSpPr>
      <xdr:spPr>
        <a:xfrm>
          <a:off x="0" y="2983912"/>
          <a:ext cx="2100943" cy="489791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May</a:t>
          </a:r>
        </a:p>
      </xdr:txBody>
    </xdr:sp>
    <xdr:clientData/>
  </xdr:twoCellAnchor>
  <xdr:twoCellAnchor>
    <xdr:from>
      <xdr:col>0</xdr:col>
      <xdr:colOff>0</xdr:colOff>
      <xdr:row>12</xdr:row>
      <xdr:rowOff>74163</xdr:rowOff>
    </xdr:from>
    <xdr:to>
      <xdr:col>3</xdr:col>
      <xdr:colOff>272143</xdr:colOff>
      <xdr:row>14</xdr:row>
      <xdr:rowOff>150362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F5F40B-EDBB-400C-AE5C-8D64B025AD2E}"/>
            </a:ext>
          </a:extLst>
        </xdr:cNvPr>
        <xdr:cNvSpPr/>
      </xdr:nvSpPr>
      <xdr:spPr>
        <a:xfrm>
          <a:off x="0" y="2367783"/>
          <a:ext cx="2100943" cy="472439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April</a:t>
          </a:r>
        </a:p>
      </xdr:txBody>
    </xdr:sp>
    <xdr:clientData/>
  </xdr:twoCellAnchor>
  <xdr:twoCellAnchor>
    <xdr:from>
      <xdr:col>0</xdr:col>
      <xdr:colOff>306917</xdr:colOff>
      <xdr:row>21</xdr:row>
      <xdr:rowOff>178596</xdr:rowOff>
    </xdr:from>
    <xdr:to>
      <xdr:col>3</xdr:col>
      <xdr:colOff>579060</xdr:colOff>
      <xdr:row>24</xdr:row>
      <xdr:rowOff>52391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E1C426E-D510-4FD3-982E-2F21C24C1EEE}"/>
            </a:ext>
          </a:extLst>
        </xdr:cNvPr>
        <xdr:cNvSpPr/>
      </xdr:nvSpPr>
      <xdr:spPr>
        <a:xfrm>
          <a:off x="306917" y="4284929"/>
          <a:ext cx="2113643" cy="477045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July</a:t>
          </a:r>
        </a:p>
      </xdr:txBody>
    </xdr:sp>
    <xdr:clientData/>
  </xdr:twoCellAnchor>
  <xdr:twoCellAnchor>
    <xdr:from>
      <xdr:col>42</xdr:col>
      <xdr:colOff>599440</xdr:colOff>
      <xdr:row>0</xdr:row>
      <xdr:rowOff>20320</xdr:rowOff>
    </xdr:from>
    <xdr:to>
      <xdr:col>57</xdr:col>
      <xdr:colOff>0</xdr:colOff>
      <xdr:row>3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9CF466A-F166-4B07-9F3B-6C1794FD1DDE}"/>
            </a:ext>
          </a:extLst>
        </xdr:cNvPr>
        <xdr:cNvSpPr/>
      </xdr:nvSpPr>
      <xdr:spPr>
        <a:xfrm>
          <a:off x="19184620" y="20320"/>
          <a:ext cx="11760200" cy="528320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3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Monthly Report</a:t>
          </a:r>
        </a:p>
      </xdr:txBody>
    </xdr:sp>
    <xdr:clientData/>
  </xdr:twoCellAnchor>
  <xdr:twoCellAnchor>
    <xdr:from>
      <xdr:col>4</xdr:col>
      <xdr:colOff>441434</xdr:colOff>
      <xdr:row>0</xdr:row>
      <xdr:rowOff>105103</xdr:rowOff>
    </xdr:from>
    <xdr:to>
      <xdr:col>5</xdr:col>
      <xdr:colOff>520262</xdr:colOff>
      <xdr:row>1</xdr:row>
      <xdr:rowOff>152400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DA1E751-9EF9-49FB-8E67-E172BFFF8AA5}"/>
            </a:ext>
          </a:extLst>
        </xdr:cNvPr>
        <xdr:cNvSpPr txBox="1"/>
      </xdr:nvSpPr>
      <xdr:spPr>
        <a:xfrm>
          <a:off x="2879834" y="105103"/>
          <a:ext cx="688428" cy="23017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5</xdr:col>
      <xdr:colOff>525518</xdr:colOff>
      <xdr:row>0</xdr:row>
      <xdr:rowOff>105102</xdr:rowOff>
    </xdr:from>
    <xdr:to>
      <xdr:col>7</xdr:col>
      <xdr:colOff>178676</xdr:colOff>
      <xdr:row>1</xdr:row>
      <xdr:rowOff>147144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420DF7A7-E922-4437-9ACC-67B29A2821BA}"/>
            </a:ext>
          </a:extLst>
        </xdr:cNvPr>
        <xdr:cNvSpPr txBox="1"/>
      </xdr:nvSpPr>
      <xdr:spPr>
        <a:xfrm>
          <a:off x="3573518" y="105102"/>
          <a:ext cx="925698" cy="2249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48BF154-D853-4C06-8A77-CF8B6B6C4045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01-Jul-2025</a:t>
          </a:fld>
          <a:endParaRPr lang="en-IN" sz="1100" b="1"/>
        </a:p>
      </xdr:txBody>
    </xdr:sp>
    <xdr:clientData/>
  </xdr:twoCellAnchor>
  <xdr:twoCellAnchor>
    <xdr:from>
      <xdr:col>7</xdr:col>
      <xdr:colOff>289034</xdr:colOff>
      <xdr:row>0</xdr:row>
      <xdr:rowOff>105102</xdr:rowOff>
    </xdr:from>
    <xdr:to>
      <xdr:col>7</xdr:col>
      <xdr:colOff>977462</xdr:colOff>
      <xdr:row>1</xdr:row>
      <xdr:rowOff>152400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13050E7-2B4B-4DA8-B60B-8BDA38B6A5DD}"/>
            </a:ext>
          </a:extLst>
        </xdr:cNvPr>
        <xdr:cNvSpPr txBox="1"/>
      </xdr:nvSpPr>
      <xdr:spPr>
        <a:xfrm>
          <a:off x="4609574" y="105102"/>
          <a:ext cx="688428" cy="23017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982718</xdr:colOff>
      <xdr:row>0</xdr:row>
      <xdr:rowOff>105102</xdr:rowOff>
    </xdr:from>
    <xdr:to>
      <xdr:col>8</xdr:col>
      <xdr:colOff>888125</xdr:colOff>
      <xdr:row>1</xdr:row>
      <xdr:rowOff>152400</xdr:rowOff>
    </xdr:to>
    <xdr:sp macro="" textlink="$H$6">
      <xdr:nvSpPr>
        <xdr:cNvPr id="20" name="TextBox 19">
          <a:extLst>
            <a:ext uri="{FF2B5EF4-FFF2-40B4-BE49-F238E27FC236}">
              <a16:creationId xmlns:a16="http://schemas.microsoft.com/office/drawing/2014/main" id="{7E834F31-3640-49A3-952C-F382CDF72A52}"/>
            </a:ext>
          </a:extLst>
        </xdr:cNvPr>
        <xdr:cNvSpPr txBox="1"/>
      </xdr:nvSpPr>
      <xdr:spPr>
        <a:xfrm>
          <a:off x="5303258" y="105102"/>
          <a:ext cx="926487" cy="2301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C149F28-0450-43B5-AA89-70F407C47701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31-Jul-2025</a:t>
          </a:fld>
          <a:endParaRPr lang="en-IN" sz="1100" b="1"/>
        </a:p>
      </xdr:txBody>
    </xdr:sp>
    <xdr:clientData/>
  </xdr:twoCellAnchor>
  <xdr:twoCellAnchor>
    <xdr:from>
      <xdr:col>8</xdr:col>
      <xdr:colOff>1381124</xdr:colOff>
      <xdr:row>0</xdr:row>
      <xdr:rowOff>76199</xdr:rowOff>
    </xdr:from>
    <xdr:to>
      <xdr:col>23</xdr:col>
      <xdr:colOff>99060</xdr:colOff>
      <xdr:row>2</xdr:row>
      <xdr:rowOff>83342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54330E7-28F4-4A85-96A6-098D87FD5752}"/>
            </a:ext>
          </a:extLst>
        </xdr:cNvPr>
        <xdr:cNvSpPr txBox="1"/>
      </xdr:nvSpPr>
      <xdr:spPr>
        <a:xfrm>
          <a:off x="6722744" y="76199"/>
          <a:ext cx="5225416" cy="372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655007</xdr:colOff>
      <xdr:row>0</xdr:row>
      <xdr:rowOff>105268</xdr:rowOff>
    </xdr:from>
    <xdr:to>
      <xdr:col>18</xdr:col>
      <xdr:colOff>140084</xdr:colOff>
      <xdr:row>2</xdr:row>
      <xdr:rowOff>52879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9A49B26-1B8D-4E2E-89B5-E3BEDA80F19A}"/>
            </a:ext>
          </a:extLst>
        </xdr:cNvPr>
        <xdr:cNvSpPr txBox="1"/>
      </xdr:nvSpPr>
      <xdr:spPr>
        <a:xfrm>
          <a:off x="7383467" y="105268"/>
          <a:ext cx="2959797" cy="3133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>
              <a:latin typeface="Times New Roman" panose="02020603050405020304" pitchFamily="18" charset="0"/>
              <a:cs typeface="Times New Roman" panose="02020603050405020304" pitchFamily="18" charset="0"/>
            </a:rPr>
            <a:t>Dashboard For</a:t>
          </a:r>
          <a:r>
            <a:rPr lang="en-IN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 the Month of</a:t>
          </a:r>
          <a:r>
            <a:rPr lang="en-IN" sz="18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 editAs="oneCell">
    <xdr:from>
      <xdr:col>9</xdr:col>
      <xdr:colOff>95805</xdr:colOff>
      <xdr:row>0</xdr:row>
      <xdr:rowOff>69126</xdr:rowOff>
    </xdr:from>
    <xdr:to>
      <xdr:col>9</xdr:col>
      <xdr:colOff>483475</xdr:colOff>
      <xdr:row>2</xdr:row>
      <xdr:rowOff>81857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1F610980-8E20-47FC-976E-C86CB7D65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824265" y="69126"/>
          <a:ext cx="387670" cy="378491"/>
        </a:xfrm>
        <a:prstGeom prst="rect">
          <a:avLst/>
        </a:prstGeom>
      </xdr:spPr>
    </xdr:pic>
    <xdr:clientData/>
  </xdr:twoCellAnchor>
  <xdr:twoCellAnchor>
    <xdr:from>
      <xdr:col>18</xdr:col>
      <xdr:colOff>205740</xdr:colOff>
      <xdr:row>0</xdr:row>
      <xdr:rowOff>136634</xdr:rowOff>
    </xdr:from>
    <xdr:to>
      <xdr:col>23</xdr:col>
      <xdr:colOff>30479</xdr:colOff>
      <xdr:row>2</xdr:row>
      <xdr:rowOff>21020</xdr:rowOff>
    </xdr:to>
    <xdr:sp macro="" textlink="$I$5">
      <xdr:nvSpPr>
        <xdr:cNvPr id="24" name="TextBox 23">
          <a:extLst>
            <a:ext uri="{FF2B5EF4-FFF2-40B4-BE49-F238E27FC236}">
              <a16:creationId xmlns:a16="http://schemas.microsoft.com/office/drawing/2014/main" id="{35BAA7C8-29F6-4403-BB55-96B6C543B5CB}"/>
            </a:ext>
          </a:extLst>
        </xdr:cNvPr>
        <xdr:cNvSpPr txBox="1"/>
      </xdr:nvSpPr>
      <xdr:spPr>
        <a:xfrm>
          <a:off x="10408920" y="136634"/>
          <a:ext cx="1470659" cy="25014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0CE7C42-3221-4D91-B0E5-69AF3A2979D1}" type="TxLink">
            <a:rPr lang="en-US" sz="1800" b="1" i="0" u="none" strike="noStrike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July</a:t>
          </a:fld>
          <a:endParaRPr lang="en-IN" sz="18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332400</xdr:colOff>
      <xdr:row>0</xdr:row>
      <xdr:rowOff>100435</xdr:rowOff>
    </xdr:from>
    <xdr:to>
      <xdr:col>25</xdr:col>
      <xdr:colOff>309626</xdr:colOff>
      <xdr:row>2</xdr:row>
      <xdr:rowOff>20878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57B1B9C-AFBD-4764-9EC9-C3519D3F434E}"/>
            </a:ext>
          </a:extLst>
        </xdr:cNvPr>
        <xdr:cNvSpPr txBox="1"/>
      </xdr:nvSpPr>
      <xdr:spPr>
        <a:xfrm>
          <a:off x="12524400" y="100435"/>
          <a:ext cx="373466" cy="2862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🟢</a:t>
          </a:r>
          <a:endParaRPr lang="en-IN" sz="1100"/>
        </a:p>
      </xdr:txBody>
    </xdr:sp>
    <xdr:clientData/>
  </xdr:twoCellAnchor>
  <xdr:twoCellAnchor>
    <xdr:from>
      <xdr:col>25</xdr:col>
      <xdr:colOff>178676</xdr:colOff>
      <xdr:row>0</xdr:row>
      <xdr:rowOff>94593</xdr:rowOff>
    </xdr:from>
    <xdr:to>
      <xdr:col>28</xdr:col>
      <xdr:colOff>89338</xdr:colOff>
      <xdr:row>2</xdr:row>
      <xdr:rowOff>10510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82C4799-3B92-4FD5-BA41-3C3516A8245E}"/>
            </a:ext>
          </a:extLst>
        </xdr:cNvPr>
        <xdr:cNvSpPr txBox="1"/>
      </xdr:nvSpPr>
      <xdr:spPr>
        <a:xfrm>
          <a:off x="12766916" y="94593"/>
          <a:ext cx="825062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Present</a:t>
          </a:r>
        </a:p>
      </xdr:txBody>
    </xdr:sp>
    <xdr:clientData/>
  </xdr:twoCellAnchor>
  <xdr:twoCellAnchor>
    <xdr:from>
      <xdr:col>29</xdr:col>
      <xdr:colOff>7901</xdr:colOff>
      <xdr:row>0</xdr:row>
      <xdr:rowOff>66223</xdr:rowOff>
    </xdr:from>
    <xdr:to>
      <xdr:col>30</xdr:col>
      <xdr:colOff>72571</xdr:colOff>
      <xdr:row>2</xdr:row>
      <xdr:rowOff>67388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D56F6D9-CA11-4536-B82B-44534B274709}"/>
            </a:ext>
          </a:extLst>
        </xdr:cNvPr>
        <xdr:cNvSpPr txBox="1"/>
      </xdr:nvSpPr>
      <xdr:spPr>
        <a:xfrm>
          <a:off x="13868681" y="66223"/>
          <a:ext cx="438050" cy="366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aseline="0"/>
            <a:t>🔴</a:t>
          </a:r>
          <a:endParaRPr lang="en-IN" sz="1200"/>
        </a:p>
      </xdr:txBody>
    </xdr:sp>
    <xdr:clientData/>
  </xdr:twoCellAnchor>
  <xdr:twoCellAnchor>
    <xdr:from>
      <xdr:col>29</xdr:col>
      <xdr:colOff>297936</xdr:colOff>
      <xdr:row>0</xdr:row>
      <xdr:rowOff>99777</xdr:rowOff>
    </xdr:from>
    <xdr:to>
      <xdr:col>32</xdr:col>
      <xdr:colOff>11618</xdr:colOff>
      <xdr:row>2</xdr:row>
      <xdr:rowOff>15694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53AAAFB-6E40-4EA3-9380-D9FDDB0FD8A1}"/>
            </a:ext>
          </a:extLst>
        </xdr:cNvPr>
        <xdr:cNvSpPr txBox="1"/>
      </xdr:nvSpPr>
      <xdr:spPr>
        <a:xfrm>
          <a:off x="14158716" y="99777"/>
          <a:ext cx="826202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Absent</a:t>
          </a:r>
        </a:p>
      </xdr:txBody>
    </xdr:sp>
    <xdr:clientData/>
  </xdr:twoCellAnchor>
  <xdr:twoCellAnchor>
    <xdr:from>
      <xdr:col>32</xdr:col>
      <xdr:colOff>315812</xdr:colOff>
      <xdr:row>0</xdr:row>
      <xdr:rowOff>83848</xdr:rowOff>
    </xdr:from>
    <xdr:to>
      <xdr:col>34</xdr:col>
      <xdr:colOff>136849</xdr:colOff>
      <xdr:row>2</xdr:row>
      <xdr:rowOff>85013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94B0B2F-CD0F-4CCA-9BCD-9E291308ACC5}"/>
            </a:ext>
          </a:extLst>
        </xdr:cNvPr>
        <xdr:cNvSpPr txBox="1"/>
      </xdr:nvSpPr>
      <xdr:spPr>
        <a:xfrm>
          <a:off x="15289112" y="83848"/>
          <a:ext cx="438257" cy="366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/>
            <a:t>🟡</a:t>
          </a:r>
          <a:endParaRPr lang="en-IN" sz="1200"/>
        </a:p>
      </xdr:txBody>
    </xdr:sp>
    <xdr:clientData/>
  </xdr:twoCellAnchor>
  <xdr:twoCellAnchor>
    <xdr:from>
      <xdr:col>33</xdr:col>
      <xdr:colOff>175602</xdr:colOff>
      <xdr:row>0</xdr:row>
      <xdr:rowOff>117402</xdr:rowOff>
    </xdr:from>
    <xdr:to>
      <xdr:col>36</xdr:col>
      <xdr:colOff>86263</xdr:colOff>
      <xdr:row>2</xdr:row>
      <xdr:rowOff>33319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23EAADF-5274-4320-A9B8-EF9CADE0EA93}"/>
            </a:ext>
          </a:extLst>
        </xdr:cNvPr>
        <xdr:cNvSpPr txBox="1"/>
      </xdr:nvSpPr>
      <xdr:spPr>
        <a:xfrm>
          <a:off x="15507042" y="117402"/>
          <a:ext cx="825061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Leave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21771</xdr:colOff>
      <xdr:row>0</xdr:row>
      <xdr:rowOff>10887</xdr:rowOff>
    </xdr:from>
    <xdr:to>
      <xdr:col>42</xdr:col>
      <xdr:colOff>31750</xdr:colOff>
      <xdr:row>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08C2D32-00AB-4F76-97BD-519842C18706}"/>
            </a:ext>
          </a:extLst>
        </xdr:cNvPr>
        <xdr:cNvSpPr/>
      </xdr:nvSpPr>
      <xdr:spPr>
        <a:xfrm>
          <a:off x="1850571" y="10887"/>
          <a:ext cx="16766359" cy="537753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21771</xdr:colOff>
      <xdr:row>41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EE0627B-02A5-44DB-B35C-63C48B86320E}"/>
            </a:ext>
          </a:extLst>
        </xdr:cNvPr>
        <xdr:cNvSpPr/>
      </xdr:nvSpPr>
      <xdr:spPr>
        <a:xfrm>
          <a:off x="0" y="0"/>
          <a:ext cx="1850571" cy="78486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2</xdr:row>
      <xdr:rowOff>125865</xdr:rowOff>
    </xdr:from>
    <xdr:to>
      <xdr:col>3</xdr:col>
      <xdr:colOff>272143</xdr:colOff>
      <xdr:row>5</xdr:row>
      <xdr:rowOff>93207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6C6139-6BEA-476E-A6D2-FBA47665D347}"/>
            </a:ext>
          </a:extLst>
        </xdr:cNvPr>
        <xdr:cNvSpPr/>
      </xdr:nvSpPr>
      <xdr:spPr>
        <a:xfrm>
          <a:off x="0" y="493727"/>
          <a:ext cx="2085177" cy="51913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0</xdr:colOff>
      <xdr:row>6</xdr:row>
      <xdr:rowOff>67355</xdr:rowOff>
    </xdr:from>
    <xdr:to>
      <xdr:col>3</xdr:col>
      <xdr:colOff>272143</xdr:colOff>
      <xdr:row>8</xdr:row>
      <xdr:rowOff>95932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AE998A-EA8A-4A03-BE3A-6172FB3E7F8F}"/>
            </a:ext>
          </a:extLst>
        </xdr:cNvPr>
        <xdr:cNvSpPr/>
      </xdr:nvSpPr>
      <xdr:spPr>
        <a:xfrm>
          <a:off x="0" y="1164635"/>
          <a:ext cx="2100943" cy="432437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February</a:t>
          </a:r>
        </a:p>
      </xdr:txBody>
    </xdr:sp>
    <xdr:clientData/>
  </xdr:twoCellAnchor>
  <xdr:twoCellAnchor>
    <xdr:from>
      <xdr:col>0</xdr:col>
      <xdr:colOff>0</xdr:colOff>
      <xdr:row>9</xdr:row>
      <xdr:rowOff>52389</xdr:rowOff>
    </xdr:from>
    <xdr:to>
      <xdr:col>3</xdr:col>
      <xdr:colOff>272143</xdr:colOff>
      <xdr:row>11</xdr:row>
      <xdr:rowOff>128589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EBF7834-CDCB-4454-947D-380E0E7891F9}"/>
            </a:ext>
          </a:extLst>
        </xdr:cNvPr>
        <xdr:cNvSpPr/>
      </xdr:nvSpPr>
      <xdr:spPr>
        <a:xfrm>
          <a:off x="0" y="1751649"/>
          <a:ext cx="2100943" cy="472440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March</a:t>
          </a:r>
        </a:p>
      </xdr:txBody>
    </xdr:sp>
    <xdr:clientData/>
  </xdr:twoCellAnchor>
  <xdr:twoCellAnchor>
    <xdr:from>
      <xdr:col>0</xdr:col>
      <xdr:colOff>328448</xdr:colOff>
      <xdr:row>25</xdr:row>
      <xdr:rowOff>35125</xdr:rowOff>
    </xdr:from>
    <xdr:to>
      <xdr:col>3</xdr:col>
      <xdr:colOff>600591</xdr:colOff>
      <xdr:row>27</xdr:row>
      <xdr:rowOff>111324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DF9AB83-285A-4B13-BCD7-2F0160452505}"/>
            </a:ext>
          </a:extLst>
        </xdr:cNvPr>
        <xdr:cNvSpPr/>
      </xdr:nvSpPr>
      <xdr:spPr>
        <a:xfrm>
          <a:off x="328448" y="4909297"/>
          <a:ext cx="2085177" cy="470337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August</a:t>
          </a:r>
        </a:p>
      </xdr:txBody>
    </xdr:sp>
    <xdr:clientData/>
  </xdr:twoCellAnchor>
  <xdr:twoCellAnchor>
    <xdr:from>
      <xdr:col>0</xdr:col>
      <xdr:colOff>0</xdr:colOff>
      <xdr:row>28</xdr:row>
      <xdr:rowOff>41504</xdr:rowOff>
    </xdr:from>
    <xdr:to>
      <xdr:col>3</xdr:col>
      <xdr:colOff>272143</xdr:colOff>
      <xdr:row>30</xdr:row>
      <xdr:rowOff>165329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6283709-E71C-4FD3-A33C-7D3B71BD9FBB}"/>
            </a:ext>
          </a:extLst>
        </xdr:cNvPr>
        <xdr:cNvSpPr/>
      </xdr:nvSpPr>
      <xdr:spPr>
        <a:xfrm>
          <a:off x="0" y="5512664"/>
          <a:ext cx="2100943" cy="48958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September</a:t>
          </a:r>
        </a:p>
      </xdr:txBody>
    </xdr:sp>
    <xdr:clientData/>
  </xdr:twoCellAnchor>
  <xdr:twoCellAnchor>
    <xdr:from>
      <xdr:col>0</xdr:col>
      <xdr:colOff>0</xdr:colOff>
      <xdr:row>31</xdr:row>
      <xdr:rowOff>110900</xdr:rowOff>
    </xdr:from>
    <xdr:to>
      <xdr:col>3</xdr:col>
      <xdr:colOff>272143</xdr:colOff>
      <xdr:row>34</xdr:row>
      <xdr:rowOff>8506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2E8F7D0-904D-4A19-8C3E-6564CA840D75}"/>
            </a:ext>
          </a:extLst>
        </xdr:cNvPr>
        <xdr:cNvSpPr/>
      </xdr:nvSpPr>
      <xdr:spPr>
        <a:xfrm>
          <a:off x="0" y="6130700"/>
          <a:ext cx="2100943" cy="446246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October</a:t>
          </a:r>
        </a:p>
      </xdr:txBody>
    </xdr:sp>
    <xdr:clientData/>
  </xdr:twoCellAnchor>
  <xdr:twoCellAnchor>
    <xdr:from>
      <xdr:col>0</xdr:col>
      <xdr:colOff>0</xdr:colOff>
      <xdr:row>34</xdr:row>
      <xdr:rowOff>132671</xdr:rowOff>
    </xdr:from>
    <xdr:to>
      <xdr:col>3</xdr:col>
      <xdr:colOff>272143</xdr:colOff>
      <xdr:row>37</xdr:row>
      <xdr:rowOff>23815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92C29A8-C788-4518-8D11-66AD2E7F7232}"/>
            </a:ext>
          </a:extLst>
        </xdr:cNvPr>
        <xdr:cNvSpPr/>
      </xdr:nvSpPr>
      <xdr:spPr>
        <a:xfrm>
          <a:off x="0" y="6701111"/>
          <a:ext cx="2100943" cy="439784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November</a:t>
          </a:r>
        </a:p>
      </xdr:txBody>
    </xdr:sp>
    <xdr:clientData/>
  </xdr:twoCellAnchor>
  <xdr:twoCellAnchor>
    <xdr:from>
      <xdr:col>0</xdr:col>
      <xdr:colOff>0</xdr:colOff>
      <xdr:row>37</xdr:row>
      <xdr:rowOff>154442</xdr:rowOff>
    </xdr:from>
    <xdr:to>
      <xdr:col>3</xdr:col>
      <xdr:colOff>272143</xdr:colOff>
      <xdr:row>40</xdr:row>
      <xdr:rowOff>45587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255EC7A-FA6E-4581-96F5-40BBDCABE607}"/>
            </a:ext>
          </a:extLst>
        </xdr:cNvPr>
        <xdr:cNvSpPr/>
      </xdr:nvSpPr>
      <xdr:spPr>
        <a:xfrm>
          <a:off x="0" y="7271522"/>
          <a:ext cx="2100943" cy="43978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December</a:t>
          </a:r>
        </a:p>
      </xdr:txBody>
    </xdr:sp>
    <xdr:clientData/>
  </xdr:twoCellAnchor>
  <xdr:twoCellAnchor>
    <xdr:from>
      <xdr:col>0</xdr:col>
      <xdr:colOff>0</xdr:colOff>
      <xdr:row>18</xdr:row>
      <xdr:rowOff>128590</xdr:rowOff>
    </xdr:from>
    <xdr:to>
      <xdr:col>3</xdr:col>
      <xdr:colOff>272143</xdr:colOff>
      <xdr:row>21</xdr:row>
      <xdr:rowOff>19734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137A2AC-3E49-4B06-A8B9-FC8C9FBE03DA}"/>
            </a:ext>
          </a:extLst>
        </xdr:cNvPr>
        <xdr:cNvSpPr/>
      </xdr:nvSpPr>
      <xdr:spPr>
        <a:xfrm>
          <a:off x="0" y="3610930"/>
          <a:ext cx="2100943" cy="485504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June</a:t>
          </a:r>
        </a:p>
      </xdr:txBody>
    </xdr:sp>
    <xdr:clientData/>
  </xdr:twoCellAnchor>
  <xdr:twoCellAnchor>
    <xdr:from>
      <xdr:col>0</xdr:col>
      <xdr:colOff>0</xdr:colOff>
      <xdr:row>15</xdr:row>
      <xdr:rowOff>95932</xdr:rowOff>
    </xdr:from>
    <xdr:to>
      <xdr:col>3</xdr:col>
      <xdr:colOff>272143</xdr:colOff>
      <xdr:row>17</xdr:row>
      <xdr:rowOff>189483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596E9D4-104D-4588-9311-6A4D61E9A94F}"/>
            </a:ext>
          </a:extLst>
        </xdr:cNvPr>
        <xdr:cNvSpPr/>
      </xdr:nvSpPr>
      <xdr:spPr>
        <a:xfrm>
          <a:off x="0" y="2983912"/>
          <a:ext cx="2100943" cy="489791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May</a:t>
          </a:r>
        </a:p>
      </xdr:txBody>
    </xdr:sp>
    <xdr:clientData/>
  </xdr:twoCellAnchor>
  <xdr:twoCellAnchor>
    <xdr:from>
      <xdr:col>0</xdr:col>
      <xdr:colOff>0</xdr:colOff>
      <xdr:row>12</xdr:row>
      <xdr:rowOff>74163</xdr:rowOff>
    </xdr:from>
    <xdr:to>
      <xdr:col>3</xdr:col>
      <xdr:colOff>272143</xdr:colOff>
      <xdr:row>14</xdr:row>
      <xdr:rowOff>150362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2B906CA-74D0-4C2D-9DBD-4FD39003CF33}"/>
            </a:ext>
          </a:extLst>
        </xdr:cNvPr>
        <xdr:cNvSpPr/>
      </xdr:nvSpPr>
      <xdr:spPr>
        <a:xfrm>
          <a:off x="0" y="2367783"/>
          <a:ext cx="2100943" cy="472439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April</a:t>
          </a:r>
        </a:p>
      </xdr:txBody>
    </xdr:sp>
    <xdr:clientData/>
  </xdr:twoCellAnchor>
  <xdr:twoCellAnchor>
    <xdr:from>
      <xdr:col>0</xdr:col>
      <xdr:colOff>0</xdr:colOff>
      <xdr:row>21</xdr:row>
      <xdr:rowOff>178596</xdr:rowOff>
    </xdr:from>
    <xdr:to>
      <xdr:col>3</xdr:col>
      <xdr:colOff>272143</xdr:colOff>
      <xdr:row>24</xdr:row>
      <xdr:rowOff>52391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1232851-B4D2-4C36-8527-F52129F2350E}"/>
            </a:ext>
          </a:extLst>
        </xdr:cNvPr>
        <xdr:cNvSpPr/>
      </xdr:nvSpPr>
      <xdr:spPr>
        <a:xfrm>
          <a:off x="0" y="4255296"/>
          <a:ext cx="2100943" cy="46815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July</a:t>
          </a:r>
        </a:p>
      </xdr:txBody>
    </xdr:sp>
    <xdr:clientData/>
  </xdr:twoCellAnchor>
  <xdr:twoCellAnchor>
    <xdr:from>
      <xdr:col>42</xdr:col>
      <xdr:colOff>599440</xdr:colOff>
      <xdr:row>0</xdr:row>
      <xdr:rowOff>20320</xdr:rowOff>
    </xdr:from>
    <xdr:to>
      <xdr:col>57</xdr:col>
      <xdr:colOff>0</xdr:colOff>
      <xdr:row>3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5E1372A-1F21-471C-A4A8-156559848D2D}"/>
            </a:ext>
          </a:extLst>
        </xdr:cNvPr>
        <xdr:cNvSpPr/>
      </xdr:nvSpPr>
      <xdr:spPr>
        <a:xfrm>
          <a:off x="19184620" y="20320"/>
          <a:ext cx="11760200" cy="528320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3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Monthly Report</a:t>
          </a:r>
        </a:p>
      </xdr:txBody>
    </xdr:sp>
    <xdr:clientData/>
  </xdr:twoCellAnchor>
  <xdr:twoCellAnchor>
    <xdr:from>
      <xdr:col>4</xdr:col>
      <xdr:colOff>441434</xdr:colOff>
      <xdr:row>0</xdr:row>
      <xdr:rowOff>105103</xdr:rowOff>
    </xdr:from>
    <xdr:to>
      <xdr:col>5</xdr:col>
      <xdr:colOff>520262</xdr:colOff>
      <xdr:row>1</xdr:row>
      <xdr:rowOff>152400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07F649F-0544-48BE-AECC-228C7FF26E1C}"/>
            </a:ext>
          </a:extLst>
        </xdr:cNvPr>
        <xdr:cNvSpPr txBox="1"/>
      </xdr:nvSpPr>
      <xdr:spPr>
        <a:xfrm>
          <a:off x="2879834" y="105103"/>
          <a:ext cx="688428" cy="23017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5</xdr:col>
      <xdr:colOff>525518</xdr:colOff>
      <xdr:row>0</xdr:row>
      <xdr:rowOff>105102</xdr:rowOff>
    </xdr:from>
    <xdr:to>
      <xdr:col>7</xdr:col>
      <xdr:colOff>178676</xdr:colOff>
      <xdr:row>1</xdr:row>
      <xdr:rowOff>147144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71D94922-EF06-4777-90DE-49B40FDF34AF}"/>
            </a:ext>
          </a:extLst>
        </xdr:cNvPr>
        <xdr:cNvSpPr txBox="1"/>
      </xdr:nvSpPr>
      <xdr:spPr>
        <a:xfrm>
          <a:off x="3573518" y="105102"/>
          <a:ext cx="925698" cy="2249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48BF154-D853-4C06-8A77-CF8B6B6C4045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01-Aug-2025</a:t>
          </a:fld>
          <a:endParaRPr lang="en-IN" sz="1100" b="1"/>
        </a:p>
      </xdr:txBody>
    </xdr:sp>
    <xdr:clientData/>
  </xdr:twoCellAnchor>
  <xdr:twoCellAnchor>
    <xdr:from>
      <xdr:col>7</xdr:col>
      <xdr:colOff>289034</xdr:colOff>
      <xdr:row>0</xdr:row>
      <xdr:rowOff>105102</xdr:rowOff>
    </xdr:from>
    <xdr:to>
      <xdr:col>7</xdr:col>
      <xdr:colOff>977462</xdr:colOff>
      <xdr:row>1</xdr:row>
      <xdr:rowOff>152400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BBDC85D-3AA1-46C0-9B13-11B96BF874BC}"/>
            </a:ext>
          </a:extLst>
        </xdr:cNvPr>
        <xdr:cNvSpPr txBox="1"/>
      </xdr:nvSpPr>
      <xdr:spPr>
        <a:xfrm>
          <a:off x="4609574" y="105102"/>
          <a:ext cx="688428" cy="23017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982718</xdr:colOff>
      <xdr:row>0</xdr:row>
      <xdr:rowOff>105102</xdr:rowOff>
    </xdr:from>
    <xdr:to>
      <xdr:col>8</xdr:col>
      <xdr:colOff>888125</xdr:colOff>
      <xdr:row>1</xdr:row>
      <xdr:rowOff>152400</xdr:rowOff>
    </xdr:to>
    <xdr:sp macro="" textlink="$H$6">
      <xdr:nvSpPr>
        <xdr:cNvPr id="20" name="TextBox 19">
          <a:extLst>
            <a:ext uri="{FF2B5EF4-FFF2-40B4-BE49-F238E27FC236}">
              <a16:creationId xmlns:a16="http://schemas.microsoft.com/office/drawing/2014/main" id="{33204DC4-76AB-40BD-B4A2-5254AF058C74}"/>
            </a:ext>
          </a:extLst>
        </xdr:cNvPr>
        <xdr:cNvSpPr txBox="1"/>
      </xdr:nvSpPr>
      <xdr:spPr>
        <a:xfrm>
          <a:off x="5303258" y="105102"/>
          <a:ext cx="926487" cy="2301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C149F28-0450-43B5-AA89-70F407C47701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31-Aug-2025</a:t>
          </a:fld>
          <a:endParaRPr lang="en-IN" sz="1100" b="1"/>
        </a:p>
      </xdr:txBody>
    </xdr:sp>
    <xdr:clientData/>
  </xdr:twoCellAnchor>
  <xdr:twoCellAnchor>
    <xdr:from>
      <xdr:col>8</xdr:col>
      <xdr:colOff>1381124</xdr:colOff>
      <xdr:row>0</xdr:row>
      <xdr:rowOff>76199</xdr:rowOff>
    </xdr:from>
    <xdr:to>
      <xdr:col>23</xdr:col>
      <xdr:colOff>99060</xdr:colOff>
      <xdr:row>2</xdr:row>
      <xdr:rowOff>83342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31679CF-6913-4FAD-A276-D715B046D582}"/>
            </a:ext>
          </a:extLst>
        </xdr:cNvPr>
        <xdr:cNvSpPr txBox="1"/>
      </xdr:nvSpPr>
      <xdr:spPr>
        <a:xfrm>
          <a:off x="6722744" y="76199"/>
          <a:ext cx="5225416" cy="372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655007</xdr:colOff>
      <xdr:row>0</xdr:row>
      <xdr:rowOff>105268</xdr:rowOff>
    </xdr:from>
    <xdr:to>
      <xdr:col>18</xdr:col>
      <xdr:colOff>140084</xdr:colOff>
      <xdr:row>2</xdr:row>
      <xdr:rowOff>52879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1741458-3CF7-4553-BD45-7EB480226C49}"/>
            </a:ext>
          </a:extLst>
        </xdr:cNvPr>
        <xdr:cNvSpPr txBox="1"/>
      </xdr:nvSpPr>
      <xdr:spPr>
        <a:xfrm>
          <a:off x="7383467" y="105268"/>
          <a:ext cx="2959797" cy="3133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>
              <a:latin typeface="Times New Roman" panose="02020603050405020304" pitchFamily="18" charset="0"/>
              <a:cs typeface="Times New Roman" panose="02020603050405020304" pitchFamily="18" charset="0"/>
            </a:rPr>
            <a:t>Dashboard For</a:t>
          </a:r>
          <a:r>
            <a:rPr lang="en-IN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 the Month of</a:t>
          </a:r>
          <a:r>
            <a:rPr lang="en-IN" sz="18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 editAs="oneCell">
    <xdr:from>
      <xdr:col>9</xdr:col>
      <xdr:colOff>95805</xdr:colOff>
      <xdr:row>0</xdr:row>
      <xdr:rowOff>69126</xdr:rowOff>
    </xdr:from>
    <xdr:to>
      <xdr:col>9</xdr:col>
      <xdr:colOff>483475</xdr:colOff>
      <xdr:row>2</xdr:row>
      <xdr:rowOff>81857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2A32549E-B893-4188-890C-9A659884B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824265" y="69126"/>
          <a:ext cx="387670" cy="378491"/>
        </a:xfrm>
        <a:prstGeom prst="rect">
          <a:avLst/>
        </a:prstGeom>
      </xdr:spPr>
    </xdr:pic>
    <xdr:clientData/>
  </xdr:twoCellAnchor>
  <xdr:twoCellAnchor>
    <xdr:from>
      <xdr:col>18</xdr:col>
      <xdr:colOff>205740</xdr:colOff>
      <xdr:row>0</xdr:row>
      <xdr:rowOff>136634</xdr:rowOff>
    </xdr:from>
    <xdr:to>
      <xdr:col>23</xdr:col>
      <xdr:colOff>30479</xdr:colOff>
      <xdr:row>2</xdr:row>
      <xdr:rowOff>21020</xdr:rowOff>
    </xdr:to>
    <xdr:sp macro="" textlink="$I$5">
      <xdr:nvSpPr>
        <xdr:cNvPr id="24" name="TextBox 23">
          <a:extLst>
            <a:ext uri="{FF2B5EF4-FFF2-40B4-BE49-F238E27FC236}">
              <a16:creationId xmlns:a16="http://schemas.microsoft.com/office/drawing/2014/main" id="{55516EC6-5764-47BE-BBBB-133BD2EF8A60}"/>
            </a:ext>
          </a:extLst>
        </xdr:cNvPr>
        <xdr:cNvSpPr txBox="1"/>
      </xdr:nvSpPr>
      <xdr:spPr>
        <a:xfrm>
          <a:off x="10408920" y="136634"/>
          <a:ext cx="1470659" cy="25014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0CE7C42-3221-4D91-B0E5-69AF3A2979D1}" type="TxLink">
            <a:rPr lang="en-US" sz="1800" b="1" i="0" u="none" strike="noStrike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August</a:t>
          </a:fld>
          <a:endParaRPr lang="en-IN" sz="18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332400</xdr:colOff>
      <xdr:row>0</xdr:row>
      <xdr:rowOff>100435</xdr:rowOff>
    </xdr:from>
    <xdr:to>
      <xdr:col>25</xdr:col>
      <xdr:colOff>309626</xdr:colOff>
      <xdr:row>2</xdr:row>
      <xdr:rowOff>20878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396E494-D627-4505-AB3D-D5EF6A36C7E7}"/>
            </a:ext>
          </a:extLst>
        </xdr:cNvPr>
        <xdr:cNvSpPr txBox="1"/>
      </xdr:nvSpPr>
      <xdr:spPr>
        <a:xfrm>
          <a:off x="12524400" y="100435"/>
          <a:ext cx="373466" cy="2862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🟢</a:t>
          </a:r>
          <a:endParaRPr lang="en-IN" sz="1100"/>
        </a:p>
      </xdr:txBody>
    </xdr:sp>
    <xdr:clientData/>
  </xdr:twoCellAnchor>
  <xdr:twoCellAnchor>
    <xdr:from>
      <xdr:col>25</xdr:col>
      <xdr:colOff>178676</xdr:colOff>
      <xdr:row>0</xdr:row>
      <xdr:rowOff>94593</xdr:rowOff>
    </xdr:from>
    <xdr:to>
      <xdr:col>28</xdr:col>
      <xdr:colOff>89338</xdr:colOff>
      <xdr:row>2</xdr:row>
      <xdr:rowOff>10510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57EEEE8-4FDD-4872-9BED-0BF223EAB4A2}"/>
            </a:ext>
          </a:extLst>
        </xdr:cNvPr>
        <xdr:cNvSpPr txBox="1"/>
      </xdr:nvSpPr>
      <xdr:spPr>
        <a:xfrm>
          <a:off x="12766916" y="94593"/>
          <a:ext cx="825062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Present</a:t>
          </a:r>
        </a:p>
      </xdr:txBody>
    </xdr:sp>
    <xdr:clientData/>
  </xdr:twoCellAnchor>
  <xdr:twoCellAnchor>
    <xdr:from>
      <xdr:col>29</xdr:col>
      <xdr:colOff>7901</xdr:colOff>
      <xdr:row>0</xdr:row>
      <xdr:rowOff>66223</xdr:rowOff>
    </xdr:from>
    <xdr:to>
      <xdr:col>30</xdr:col>
      <xdr:colOff>72571</xdr:colOff>
      <xdr:row>2</xdr:row>
      <xdr:rowOff>67388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9054C4D-77B2-4467-89D5-3DA98C2245D0}"/>
            </a:ext>
          </a:extLst>
        </xdr:cNvPr>
        <xdr:cNvSpPr txBox="1"/>
      </xdr:nvSpPr>
      <xdr:spPr>
        <a:xfrm>
          <a:off x="13868681" y="66223"/>
          <a:ext cx="438050" cy="366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aseline="0"/>
            <a:t>🔴</a:t>
          </a:r>
          <a:endParaRPr lang="en-IN" sz="1200"/>
        </a:p>
      </xdr:txBody>
    </xdr:sp>
    <xdr:clientData/>
  </xdr:twoCellAnchor>
  <xdr:twoCellAnchor>
    <xdr:from>
      <xdr:col>29</xdr:col>
      <xdr:colOff>297936</xdr:colOff>
      <xdr:row>0</xdr:row>
      <xdr:rowOff>99777</xdr:rowOff>
    </xdr:from>
    <xdr:to>
      <xdr:col>32</xdr:col>
      <xdr:colOff>11618</xdr:colOff>
      <xdr:row>2</xdr:row>
      <xdr:rowOff>15694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BFE126A-1FF7-484E-BDB3-E39ABBA1D487}"/>
            </a:ext>
          </a:extLst>
        </xdr:cNvPr>
        <xdr:cNvSpPr txBox="1"/>
      </xdr:nvSpPr>
      <xdr:spPr>
        <a:xfrm>
          <a:off x="14158716" y="99777"/>
          <a:ext cx="826202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Absent</a:t>
          </a:r>
        </a:p>
      </xdr:txBody>
    </xdr:sp>
    <xdr:clientData/>
  </xdr:twoCellAnchor>
  <xdr:twoCellAnchor>
    <xdr:from>
      <xdr:col>32</xdr:col>
      <xdr:colOff>315812</xdr:colOff>
      <xdr:row>0</xdr:row>
      <xdr:rowOff>83848</xdr:rowOff>
    </xdr:from>
    <xdr:to>
      <xdr:col>34</xdr:col>
      <xdr:colOff>136849</xdr:colOff>
      <xdr:row>2</xdr:row>
      <xdr:rowOff>85013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E56938F-517A-466D-A559-2590537AF054}"/>
            </a:ext>
          </a:extLst>
        </xdr:cNvPr>
        <xdr:cNvSpPr txBox="1"/>
      </xdr:nvSpPr>
      <xdr:spPr>
        <a:xfrm>
          <a:off x="15289112" y="83848"/>
          <a:ext cx="438257" cy="366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/>
            <a:t>🟡</a:t>
          </a:r>
          <a:endParaRPr lang="en-IN" sz="1200"/>
        </a:p>
      </xdr:txBody>
    </xdr:sp>
    <xdr:clientData/>
  </xdr:twoCellAnchor>
  <xdr:twoCellAnchor>
    <xdr:from>
      <xdr:col>33</xdr:col>
      <xdr:colOff>175602</xdr:colOff>
      <xdr:row>0</xdr:row>
      <xdr:rowOff>117402</xdr:rowOff>
    </xdr:from>
    <xdr:to>
      <xdr:col>36</xdr:col>
      <xdr:colOff>86263</xdr:colOff>
      <xdr:row>2</xdr:row>
      <xdr:rowOff>33319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9232B24-B4F3-4EA2-B9B3-59C7081C2C2B}"/>
            </a:ext>
          </a:extLst>
        </xdr:cNvPr>
        <xdr:cNvSpPr txBox="1"/>
      </xdr:nvSpPr>
      <xdr:spPr>
        <a:xfrm>
          <a:off x="15507042" y="117402"/>
          <a:ext cx="825061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Leave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21771</xdr:colOff>
      <xdr:row>0</xdr:row>
      <xdr:rowOff>10887</xdr:rowOff>
    </xdr:from>
    <xdr:to>
      <xdr:col>42</xdr:col>
      <xdr:colOff>31750</xdr:colOff>
      <xdr:row>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EC10BD2-D6A2-4B76-BAC9-DDA28B27D56E}"/>
            </a:ext>
          </a:extLst>
        </xdr:cNvPr>
        <xdr:cNvSpPr/>
      </xdr:nvSpPr>
      <xdr:spPr>
        <a:xfrm>
          <a:off x="1850571" y="10887"/>
          <a:ext cx="16766359" cy="537753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21771</xdr:colOff>
      <xdr:row>41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B5C171-6D7D-481D-BE10-6E01C03BD11B}"/>
            </a:ext>
          </a:extLst>
        </xdr:cNvPr>
        <xdr:cNvSpPr/>
      </xdr:nvSpPr>
      <xdr:spPr>
        <a:xfrm>
          <a:off x="0" y="0"/>
          <a:ext cx="1850571" cy="78486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2</xdr:row>
      <xdr:rowOff>125865</xdr:rowOff>
    </xdr:from>
    <xdr:to>
      <xdr:col>3</xdr:col>
      <xdr:colOff>272143</xdr:colOff>
      <xdr:row>5</xdr:row>
      <xdr:rowOff>93207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79246C-D52A-48C0-AC14-45280107CEB3}"/>
            </a:ext>
          </a:extLst>
        </xdr:cNvPr>
        <xdr:cNvSpPr/>
      </xdr:nvSpPr>
      <xdr:spPr>
        <a:xfrm>
          <a:off x="0" y="486083"/>
          <a:ext cx="2100943" cy="507669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0</xdr:colOff>
      <xdr:row>6</xdr:row>
      <xdr:rowOff>67355</xdr:rowOff>
    </xdr:from>
    <xdr:to>
      <xdr:col>3</xdr:col>
      <xdr:colOff>272143</xdr:colOff>
      <xdr:row>8</xdr:row>
      <xdr:rowOff>95932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ABDE4F-13AC-499D-BD16-58A29CC95049}"/>
            </a:ext>
          </a:extLst>
        </xdr:cNvPr>
        <xdr:cNvSpPr/>
      </xdr:nvSpPr>
      <xdr:spPr>
        <a:xfrm>
          <a:off x="0" y="1164635"/>
          <a:ext cx="2100943" cy="432437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February</a:t>
          </a:r>
        </a:p>
      </xdr:txBody>
    </xdr:sp>
    <xdr:clientData/>
  </xdr:twoCellAnchor>
  <xdr:twoCellAnchor>
    <xdr:from>
      <xdr:col>0</xdr:col>
      <xdr:colOff>0</xdr:colOff>
      <xdr:row>9</xdr:row>
      <xdr:rowOff>52389</xdr:rowOff>
    </xdr:from>
    <xdr:to>
      <xdr:col>3</xdr:col>
      <xdr:colOff>272143</xdr:colOff>
      <xdr:row>11</xdr:row>
      <xdr:rowOff>128589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CC4643C-F6AB-43B3-AA0D-B36935E384AB}"/>
            </a:ext>
          </a:extLst>
        </xdr:cNvPr>
        <xdr:cNvSpPr/>
      </xdr:nvSpPr>
      <xdr:spPr>
        <a:xfrm>
          <a:off x="0" y="1751649"/>
          <a:ext cx="2100943" cy="472440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March</a:t>
          </a:r>
        </a:p>
      </xdr:txBody>
    </xdr:sp>
    <xdr:clientData/>
  </xdr:twoCellAnchor>
  <xdr:twoCellAnchor>
    <xdr:from>
      <xdr:col>0</xdr:col>
      <xdr:colOff>0</xdr:colOff>
      <xdr:row>25</xdr:row>
      <xdr:rowOff>8849</xdr:rowOff>
    </xdr:from>
    <xdr:to>
      <xdr:col>3</xdr:col>
      <xdr:colOff>272143</xdr:colOff>
      <xdr:row>27</xdr:row>
      <xdr:rowOff>85048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BE7C77C-7A2B-4BB6-A988-909B1A95C15E}"/>
            </a:ext>
          </a:extLst>
        </xdr:cNvPr>
        <xdr:cNvSpPr/>
      </xdr:nvSpPr>
      <xdr:spPr>
        <a:xfrm>
          <a:off x="0" y="4878029"/>
          <a:ext cx="2100943" cy="472439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August</a:t>
          </a:r>
        </a:p>
      </xdr:txBody>
    </xdr:sp>
    <xdr:clientData/>
  </xdr:twoCellAnchor>
  <xdr:twoCellAnchor>
    <xdr:from>
      <xdr:col>0</xdr:col>
      <xdr:colOff>346364</xdr:colOff>
      <xdr:row>28</xdr:row>
      <xdr:rowOff>41504</xdr:rowOff>
    </xdr:from>
    <xdr:to>
      <xdr:col>4</xdr:col>
      <xdr:colOff>8907</xdr:colOff>
      <xdr:row>30</xdr:row>
      <xdr:rowOff>165329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1AA80F7-5E92-436F-9E2E-7E591F9B2ABA}"/>
            </a:ext>
          </a:extLst>
        </xdr:cNvPr>
        <xdr:cNvSpPr/>
      </xdr:nvSpPr>
      <xdr:spPr>
        <a:xfrm>
          <a:off x="346364" y="5430922"/>
          <a:ext cx="2100943" cy="484043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0</xdr:colOff>
      <xdr:row>31</xdr:row>
      <xdr:rowOff>110900</xdr:rowOff>
    </xdr:from>
    <xdr:to>
      <xdr:col>3</xdr:col>
      <xdr:colOff>272143</xdr:colOff>
      <xdr:row>34</xdr:row>
      <xdr:rowOff>8506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51F9003-9F02-4ACE-93A5-C8E3E5356820}"/>
            </a:ext>
          </a:extLst>
        </xdr:cNvPr>
        <xdr:cNvSpPr/>
      </xdr:nvSpPr>
      <xdr:spPr>
        <a:xfrm>
          <a:off x="0" y="6130700"/>
          <a:ext cx="2100943" cy="446246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October</a:t>
          </a:r>
        </a:p>
      </xdr:txBody>
    </xdr:sp>
    <xdr:clientData/>
  </xdr:twoCellAnchor>
  <xdr:twoCellAnchor>
    <xdr:from>
      <xdr:col>0</xdr:col>
      <xdr:colOff>0</xdr:colOff>
      <xdr:row>34</xdr:row>
      <xdr:rowOff>132671</xdr:rowOff>
    </xdr:from>
    <xdr:to>
      <xdr:col>3</xdr:col>
      <xdr:colOff>272143</xdr:colOff>
      <xdr:row>37</xdr:row>
      <xdr:rowOff>23815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98C968E-D1B8-4697-85D2-5F2A5CFBDF8D}"/>
            </a:ext>
          </a:extLst>
        </xdr:cNvPr>
        <xdr:cNvSpPr/>
      </xdr:nvSpPr>
      <xdr:spPr>
        <a:xfrm>
          <a:off x="0" y="6701111"/>
          <a:ext cx="2100943" cy="439784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November</a:t>
          </a:r>
        </a:p>
      </xdr:txBody>
    </xdr:sp>
    <xdr:clientData/>
  </xdr:twoCellAnchor>
  <xdr:twoCellAnchor>
    <xdr:from>
      <xdr:col>0</xdr:col>
      <xdr:colOff>0</xdr:colOff>
      <xdr:row>37</xdr:row>
      <xdr:rowOff>154442</xdr:rowOff>
    </xdr:from>
    <xdr:to>
      <xdr:col>3</xdr:col>
      <xdr:colOff>272143</xdr:colOff>
      <xdr:row>40</xdr:row>
      <xdr:rowOff>45587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7671E88-66E9-425F-8CF6-7585D4C5CBD9}"/>
            </a:ext>
          </a:extLst>
        </xdr:cNvPr>
        <xdr:cNvSpPr/>
      </xdr:nvSpPr>
      <xdr:spPr>
        <a:xfrm>
          <a:off x="0" y="7271522"/>
          <a:ext cx="2100943" cy="43978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December</a:t>
          </a:r>
        </a:p>
      </xdr:txBody>
    </xdr:sp>
    <xdr:clientData/>
  </xdr:twoCellAnchor>
  <xdr:twoCellAnchor>
    <xdr:from>
      <xdr:col>0</xdr:col>
      <xdr:colOff>0</xdr:colOff>
      <xdr:row>18</xdr:row>
      <xdr:rowOff>128590</xdr:rowOff>
    </xdr:from>
    <xdr:to>
      <xdr:col>3</xdr:col>
      <xdr:colOff>272143</xdr:colOff>
      <xdr:row>21</xdr:row>
      <xdr:rowOff>19734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5F16498-77C4-425A-A2C0-D4E7C30ACA63}"/>
            </a:ext>
          </a:extLst>
        </xdr:cNvPr>
        <xdr:cNvSpPr/>
      </xdr:nvSpPr>
      <xdr:spPr>
        <a:xfrm>
          <a:off x="0" y="3610930"/>
          <a:ext cx="2100943" cy="485504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June</a:t>
          </a:r>
        </a:p>
      </xdr:txBody>
    </xdr:sp>
    <xdr:clientData/>
  </xdr:twoCellAnchor>
  <xdr:twoCellAnchor>
    <xdr:from>
      <xdr:col>0</xdr:col>
      <xdr:colOff>0</xdr:colOff>
      <xdr:row>15</xdr:row>
      <xdr:rowOff>95932</xdr:rowOff>
    </xdr:from>
    <xdr:to>
      <xdr:col>3</xdr:col>
      <xdr:colOff>272143</xdr:colOff>
      <xdr:row>17</xdr:row>
      <xdr:rowOff>189483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680C953-14AE-46A7-A136-A252D640DD82}"/>
            </a:ext>
          </a:extLst>
        </xdr:cNvPr>
        <xdr:cNvSpPr/>
      </xdr:nvSpPr>
      <xdr:spPr>
        <a:xfrm>
          <a:off x="0" y="2983912"/>
          <a:ext cx="2100943" cy="489791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May</a:t>
          </a:r>
        </a:p>
      </xdr:txBody>
    </xdr:sp>
    <xdr:clientData/>
  </xdr:twoCellAnchor>
  <xdr:twoCellAnchor>
    <xdr:from>
      <xdr:col>0</xdr:col>
      <xdr:colOff>0</xdr:colOff>
      <xdr:row>12</xdr:row>
      <xdr:rowOff>74163</xdr:rowOff>
    </xdr:from>
    <xdr:to>
      <xdr:col>3</xdr:col>
      <xdr:colOff>272143</xdr:colOff>
      <xdr:row>14</xdr:row>
      <xdr:rowOff>150362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7CB0D34-0D63-430B-AB57-7A2316EA3057}"/>
            </a:ext>
          </a:extLst>
        </xdr:cNvPr>
        <xdr:cNvSpPr/>
      </xdr:nvSpPr>
      <xdr:spPr>
        <a:xfrm>
          <a:off x="0" y="2367783"/>
          <a:ext cx="2100943" cy="472439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April</a:t>
          </a:r>
        </a:p>
      </xdr:txBody>
    </xdr:sp>
    <xdr:clientData/>
  </xdr:twoCellAnchor>
  <xdr:twoCellAnchor>
    <xdr:from>
      <xdr:col>0</xdr:col>
      <xdr:colOff>0</xdr:colOff>
      <xdr:row>21</xdr:row>
      <xdr:rowOff>178596</xdr:rowOff>
    </xdr:from>
    <xdr:to>
      <xdr:col>3</xdr:col>
      <xdr:colOff>272143</xdr:colOff>
      <xdr:row>24</xdr:row>
      <xdr:rowOff>52391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638F9FC-C093-411F-B99E-71704DB66D44}"/>
            </a:ext>
          </a:extLst>
        </xdr:cNvPr>
        <xdr:cNvSpPr/>
      </xdr:nvSpPr>
      <xdr:spPr>
        <a:xfrm>
          <a:off x="0" y="4255296"/>
          <a:ext cx="2100943" cy="46815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July</a:t>
          </a:r>
        </a:p>
      </xdr:txBody>
    </xdr:sp>
    <xdr:clientData/>
  </xdr:twoCellAnchor>
  <xdr:twoCellAnchor>
    <xdr:from>
      <xdr:col>42</xdr:col>
      <xdr:colOff>599440</xdr:colOff>
      <xdr:row>0</xdr:row>
      <xdr:rowOff>20320</xdr:rowOff>
    </xdr:from>
    <xdr:to>
      <xdr:col>57</xdr:col>
      <xdr:colOff>0</xdr:colOff>
      <xdr:row>3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A261ACA-4615-4DEF-A79D-946B874C7064}"/>
            </a:ext>
          </a:extLst>
        </xdr:cNvPr>
        <xdr:cNvSpPr/>
      </xdr:nvSpPr>
      <xdr:spPr>
        <a:xfrm>
          <a:off x="19184620" y="20320"/>
          <a:ext cx="11760200" cy="528320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3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Monthly Report</a:t>
          </a:r>
        </a:p>
      </xdr:txBody>
    </xdr:sp>
    <xdr:clientData/>
  </xdr:twoCellAnchor>
  <xdr:twoCellAnchor>
    <xdr:from>
      <xdr:col>4</xdr:col>
      <xdr:colOff>441434</xdr:colOff>
      <xdr:row>0</xdr:row>
      <xdr:rowOff>105103</xdr:rowOff>
    </xdr:from>
    <xdr:to>
      <xdr:col>5</xdr:col>
      <xdr:colOff>520262</xdr:colOff>
      <xdr:row>1</xdr:row>
      <xdr:rowOff>152400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CCF5C3B-39C8-412A-9496-C62C56D9109F}"/>
            </a:ext>
          </a:extLst>
        </xdr:cNvPr>
        <xdr:cNvSpPr txBox="1"/>
      </xdr:nvSpPr>
      <xdr:spPr>
        <a:xfrm>
          <a:off x="2879834" y="105103"/>
          <a:ext cx="688428" cy="23017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5</xdr:col>
      <xdr:colOff>525518</xdr:colOff>
      <xdr:row>0</xdr:row>
      <xdr:rowOff>105102</xdr:rowOff>
    </xdr:from>
    <xdr:to>
      <xdr:col>7</xdr:col>
      <xdr:colOff>178676</xdr:colOff>
      <xdr:row>1</xdr:row>
      <xdr:rowOff>147144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BB9C8A81-AF1B-474C-94A6-6DC573819880}"/>
            </a:ext>
          </a:extLst>
        </xdr:cNvPr>
        <xdr:cNvSpPr txBox="1"/>
      </xdr:nvSpPr>
      <xdr:spPr>
        <a:xfrm>
          <a:off x="3573518" y="105102"/>
          <a:ext cx="925698" cy="2249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48BF154-D853-4C06-8A77-CF8B6B6C4045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01-Sep-2025</a:t>
          </a:fld>
          <a:endParaRPr lang="en-IN" sz="1100" b="1"/>
        </a:p>
      </xdr:txBody>
    </xdr:sp>
    <xdr:clientData/>
  </xdr:twoCellAnchor>
  <xdr:twoCellAnchor>
    <xdr:from>
      <xdr:col>7</xdr:col>
      <xdr:colOff>289034</xdr:colOff>
      <xdr:row>0</xdr:row>
      <xdr:rowOff>105102</xdr:rowOff>
    </xdr:from>
    <xdr:to>
      <xdr:col>7</xdr:col>
      <xdr:colOff>977462</xdr:colOff>
      <xdr:row>1</xdr:row>
      <xdr:rowOff>152400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95E70F-BCB9-432C-840E-84EEF8E7CF3A}"/>
            </a:ext>
          </a:extLst>
        </xdr:cNvPr>
        <xdr:cNvSpPr txBox="1"/>
      </xdr:nvSpPr>
      <xdr:spPr>
        <a:xfrm>
          <a:off x="4609574" y="105102"/>
          <a:ext cx="688428" cy="23017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982718</xdr:colOff>
      <xdr:row>0</xdr:row>
      <xdr:rowOff>105102</xdr:rowOff>
    </xdr:from>
    <xdr:to>
      <xdr:col>8</xdr:col>
      <xdr:colOff>888125</xdr:colOff>
      <xdr:row>1</xdr:row>
      <xdr:rowOff>152400</xdr:rowOff>
    </xdr:to>
    <xdr:sp macro="" textlink="$H$6">
      <xdr:nvSpPr>
        <xdr:cNvPr id="20" name="TextBox 19">
          <a:extLst>
            <a:ext uri="{FF2B5EF4-FFF2-40B4-BE49-F238E27FC236}">
              <a16:creationId xmlns:a16="http://schemas.microsoft.com/office/drawing/2014/main" id="{BCDD1B4F-E8B5-40CD-80C3-609F0F2C6747}"/>
            </a:ext>
          </a:extLst>
        </xdr:cNvPr>
        <xdr:cNvSpPr txBox="1"/>
      </xdr:nvSpPr>
      <xdr:spPr>
        <a:xfrm>
          <a:off x="5303258" y="105102"/>
          <a:ext cx="926487" cy="2301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C149F28-0450-43B5-AA89-70F407C47701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30-Sep-2025</a:t>
          </a:fld>
          <a:endParaRPr lang="en-IN" sz="1100" b="1"/>
        </a:p>
      </xdr:txBody>
    </xdr:sp>
    <xdr:clientData/>
  </xdr:twoCellAnchor>
  <xdr:twoCellAnchor>
    <xdr:from>
      <xdr:col>8</xdr:col>
      <xdr:colOff>1381124</xdr:colOff>
      <xdr:row>0</xdr:row>
      <xdr:rowOff>76199</xdr:rowOff>
    </xdr:from>
    <xdr:to>
      <xdr:col>23</xdr:col>
      <xdr:colOff>99060</xdr:colOff>
      <xdr:row>2</xdr:row>
      <xdr:rowOff>83342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A329F7-FF1A-4AFB-9F0B-3F51598752A8}"/>
            </a:ext>
          </a:extLst>
        </xdr:cNvPr>
        <xdr:cNvSpPr txBox="1"/>
      </xdr:nvSpPr>
      <xdr:spPr>
        <a:xfrm>
          <a:off x="6722744" y="76199"/>
          <a:ext cx="5225416" cy="372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655007</xdr:colOff>
      <xdr:row>0</xdr:row>
      <xdr:rowOff>105268</xdr:rowOff>
    </xdr:from>
    <xdr:to>
      <xdr:col>18</xdr:col>
      <xdr:colOff>140084</xdr:colOff>
      <xdr:row>2</xdr:row>
      <xdr:rowOff>52879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A64EA07-FE8B-4F13-8AC0-234AF6AB8C82}"/>
            </a:ext>
          </a:extLst>
        </xdr:cNvPr>
        <xdr:cNvSpPr txBox="1"/>
      </xdr:nvSpPr>
      <xdr:spPr>
        <a:xfrm>
          <a:off x="7383467" y="105268"/>
          <a:ext cx="2959797" cy="3133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>
              <a:latin typeface="Times New Roman" panose="02020603050405020304" pitchFamily="18" charset="0"/>
              <a:cs typeface="Times New Roman" panose="02020603050405020304" pitchFamily="18" charset="0"/>
            </a:rPr>
            <a:t>Dashboard For</a:t>
          </a:r>
          <a:r>
            <a:rPr lang="en-IN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 the Month of</a:t>
          </a:r>
          <a:r>
            <a:rPr lang="en-IN" sz="18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 editAs="oneCell">
    <xdr:from>
      <xdr:col>9</xdr:col>
      <xdr:colOff>95805</xdr:colOff>
      <xdr:row>0</xdr:row>
      <xdr:rowOff>69126</xdr:rowOff>
    </xdr:from>
    <xdr:to>
      <xdr:col>9</xdr:col>
      <xdr:colOff>483475</xdr:colOff>
      <xdr:row>2</xdr:row>
      <xdr:rowOff>81857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42F98464-7A85-40CD-8910-F72E02999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824265" y="69126"/>
          <a:ext cx="387670" cy="378491"/>
        </a:xfrm>
        <a:prstGeom prst="rect">
          <a:avLst/>
        </a:prstGeom>
      </xdr:spPr>
    </xdr:pic>
    <xdr:clientData/>
  </xdr:twoCellAnchor>
  <xdr:twoCellAnchor>
    <xdr:from>
      <xdr:col>18</xdr:col>
      <xdr:colOff>205740</xdr:colOff>
      <xdr:row>0</xdr:row>
      <xdr:rowOff>136634</xdr:rowOff>
    </xdr:from>
    <xdr:to>
      <xdr:col>23</xdr:col>
      <xdr:colOff>30479</xdr:colOff>
      <xdr:row>2</xdr:row>
      <xdr:rowOff>21020</xdr:rowOff>
    </xdr:to>
    <xdr:sp macro="" textlink="$I$5">
      <xdr:nvSpPr>
        <xdr:cNvPr id="24" name="TextBox 23">
          <a:extLst>
            <a:ext uri="{FF2B5EF4-FFF2-40B4-BE49-F238E27FC236}">
              <a16:creationId xmlns:a16="http://schemas.microsoft.com/office/drawing/2014/main" id="{DD147B0B-2ACA-4720-9FFE-2578F849B3E7}"/>
            </a:ext>
          </a:extLst>
        </xdr:cNvPr>
        <xdr:cNvSpPr txBox="1"/>
      </xdr:nvSpPr>
      <xdr:spPr>
        <a:xfrm>
          <a:off x="10408920" y="136634"/>
          <a:ext cx="1470659" cy="25014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0CE7C42-3221-4D91-B0E5-69AF3A2979D1}" type="TxLink">
            <a:rPr lang="en-US" sz="1800" b="1" i="0" u="none" strike="noStrike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September</a:t>
          </a:fld>
          <a:endParaRPr lang="en-IN" sz="18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332400</xdr:colOff>
      <xdr:row>0</xdr:row>
      <xdr:rowOff>100435</xdr:rowOff>
    </xdr:from>
    <xdr:to>
      <xdr:col>25</xdr:col>
      <xdr:colOff>309626</xdr:colOff>
      <xdr:row>2</xdr:row>
      <xdr:rowOff>20878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854F082-708B-4AFE-941A-403822165E2D}"/>
            </a:ext>
          </a:extLst>
        </xdr:cNvPr>
        <xdr:cNvSpPr txBox="1"/>
      </xdr:nvSpPr>
      <xdr:spPr>
        <a:xfrm>
          <a:off x="12524400" y="100435"/>
          <a:ext cx="373466" cy="2862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🟢</a:t>
          </a:r>
          <a:endParaRPr lang="en-IN" sz="1100"/>
        </a:p>
      </xdr:txBody>
    </xdr:sp>
    <xdr:clientData/>
  </xdr:twoCellAnchor>
  <xdr:twoCellAnchor>
    <xdr:from>
      <xdr:col>25</xdr:col>
      <xdr:colOff>178676</xdr:colOff>
      <xdr:row>0</xdr:row>
      <xdr:rowOff>94593</xdr:rowOff>
    </xdr:from>
    <xdr:to>
      <xdr:col>28</xdr:col>
      <xdr:colOff>89338</xdr:colOff>
      <xdr:row>2</xdr:row>
      <xdr:rowOff>10510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E23F669-BB3D-468E-9C0D-D703996D6E87}"/>
            </a:ext>
          </a:extLst>
        </xdr:cNvPr>
        <xdr:cNvSpPr txBox="1"/>
      </xdr:nvSpPr>
      <xdr:spPr>
        <a:xfrm>
          <a:off x="12766916" y="94593"/>
          <a:ext cx="825062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Present</a:t>
          </a:r>
        </a:p>
      </xdr:txBody>
    </xdr:sp>
    <xdr:clientData/>
  </xdr:twoCellAnchor>
  <xdr:twoCellAnchor>
    <xdr:from>
      <xdr:col>29</xdr:col>
      <xdr:colOff>7901</xdr:colOff>
      <xdr:row>0</xdr:row>
      <xdr:rowOff>66223</xdr:rowOff>
    </xdr:from>
    <xdr:to>
      <xdr:col>30</xdr:col>
      <xdr:colOff>72571</xdr:colOff>
      <xdr:row>2</xdr:row>
      <xdr:rowOff>67388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4B51A3D-6198-4F23-8944-FD26AC8A843B}"/>
            </a:ext>
          </a:extLst>
        </xdr:cNvPr>
        <xdr:cNvSpPr txBox="1"/>
      </xdr:nvSpPr>
      <xdr:spPr>
        <a:xfrm>
          <a:off x="13868681" y="66223"/>
          <a:ext cx="438050" cy="366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aseline="0"/>
            <a:t>🔴</a:t>
          </a:r>
          <a:endParaRPr lang="en-IN" sz="1200"/>
        </a:p>
      </xdr:txBody>
    </xdr:sp>
    <xdr:clientData/>
  </xdr:twoCellAnchor>
  <xdr:twoCellAnchor>
    <xdr:from>
      <xdr:col>29</xdr:col>
      <xdr:colOff>297936</xdr:colOff>
      <xdr:row>0</xdr:row>
      <xdr:rowOff>99777</xdr:rowOff>
    </xdr:from>
    <xdr:to>
      <xdr:col>32</xdr:col>
      <xdr:colOff>11618</xdr:colOff>
      <xdr:row>2</xdr:row>
      <xdr:rowOff>15694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32B04D5-0453-4B19-BFC5-08A298294795}"/>
            </a:ext>
          </a:extLst>
        </xdr:cNvPr>
        <xdr:cNvSpPr txBox="1"/>
      </xdr:nvSpPr>
      <xdr:spPr>
        <a:xfrm>
          <a:off x="14158716" y="99777"/>
          <a:ext cx="826202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Absent</a:t>
          </a:r>
        </a:p>
      </xdr:txBody>
    </xdr:sp>
    <xdr:clientData/>
  </xdr:twoCellAnchor>
  <xdr:twoCellAnchor>
    <xdr:from>
      <xdr:col>32</xdr:col>
      <xdr:colOff>315812</xdr:colOff>
      <xdr:row>0</xdr:row>
      <xdr:rowOff>83848</xdr:rowOff>
    </xdr:from>
    <xdr:to>
      <xdr:col>34</xdr:col>
      <xdr:colOff>136849</xdr:colOff>
      <xdr:row>2</xdr:row>
      <xdr:rowOff>85013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397FABB-3B9A-46AB-8AF2-981880C05266}"/>
            </a:ext>
          </a:extLst>
        </xdr:cNvPr>
        <xdr:cNvSpPr txBox="1"/>
      </xdr:nvSpPr>
      <xdr:spPr>
        <a:xfrm>
          <a:off x="15289112" y="83848"/>
          <a:ext cx="438257" cy="366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/>
            <a:t>🟡</a:t>
          </a:r>
          <a:endParaRPr lang="en-IN" sz="1200"/>
        </a:p>
      </xdr:txBody>
    </xdr:sp>
    <xdr:clientData/>
  </xdr:twoCellAnchor>
  <xdr:twoCellAnchor>
    <xdr:from>
      <xdr:col>33</xdr:col>
      <xdr:colOff>175602</xdr:colOff>
      <xdr:row>0</xdr:row>
      <xdr:rowOff>117402</xdr:rowOff>
    </xdr:from>
    <xdr:to>
      <xdr:col>36</xdr:col>
      <xdr:colOff>86263</xdr:colOff>
      <xdr:row>2</xdr:row>
      <xdr:rowOff>33319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5CEE8EB-6BF9-4EE7-90E6-B455CF7D89CB}"/>
            </a:ext>
          </a:extLst>
        </xdr:cNvPr>
        <xdr:cNvSpPr txBox="1"/>
      </xdr:nvSpPr>
      <xdr:spPr>
        <a:xfrm>
          <a:off x="15507042" y="117402"/>
          <a:ext cx="825061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Leave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21771</xdr:colOff>
      <xdr:row>0</xdr:row>
      <xdr:rowOff>10887</xdr:rowOff>
    </xdr:from>
    <xdr:to>
      <xdr:col>42</xdr:col>
      <xdr:colOff>31750</xdr:colOff>
      <xdr:row>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EC1F9FF-F8A5-4526-A4AC-D5042571F76C}"/>
            </a:ext>
          </a:extLst>
        </xdr:cNvPr>
        <xdr:cNvSpPr/>
      </xdr:nvSpPr>
      <xdr:spPr>
        <a:xfrm>
          <a:off x="1850571" y="10887"/>
          <a:ext cx="16766359" cy="537753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21771</xdr:colOff>
      <xdr:row>41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9EEC824-26FA-40BF-AFC4-CF90D5FB524C}"/>
            </a:ext>
          </a:extLst>
        </xdr:cNvPr>
        <xdr:cNvSpPr/>
      </xdr:nvSpPr>
      <xdr:spPr>
        <a:xfrm>
          <a:off x="0" y="0"/>
          <a:ext cx="1850571" cy="78486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2</xdr:row>
      <xdr:rowOff>125865</xdr:rowOff>
    </xdr:from>
    <xdr:to>
      <xdr:col>3</xdr:col>
      <xdr:colOff>272143</xdr:colOff>
      <xdr:row>5</xdr:row>
      <xdr:rowOff>93207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A1F237-70A0-4C77-BAD0-2482BB9B9B7C}"/>
            </a:ext>
          </a:extLst>
        </xdr:cNvPr>
        <xdr:cNvSpPr/>
      </xdr:nvSpPr>
      <xdr:spPr>
        <a:xfrm>
          <a:off x="0" y="483053"/>
          <a:ext cx="2093799" cy="503123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0</xdr:colOff>
      <xdr:row>6</xdr:row>
      <xdr:rowOff>67355</xdr:rowOff>
    </xdr:from>
    <xdr:to>
      <xdr:col>3</xdr:col>
      <xdr:colOff>272143</xdr:colOff>
      <xdr:row>8</xdr:row>
      <xdr:rowOff>95932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508BF2-6DCF-4275-A930-6F0439D3C863}"/>
            </a:ext>
          </a:extLst>
        </xdr:cNvPr>
        <xdr:cNvSpPr/>
      </xdr:nvSpPr>
      <xdr:spPr>
        <a:xfrm>
          <a:off x="0" y="1164635"/>
          <a:ext cx="2100943" cy="432437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February</a:t>
          </a:r>
        </a:p>
      </xdr:txBody>
    </xdr:sp>
    <xdr:clientData/>
  </xdr:twoCellAnchor>
  <xdr:twoCellAnchor>
    <xdr:from>
      <xdr:col>0</xdr:col>
      <xdr:colOff>0</xdr:colOff>
      <xdr:row>9</xdr:row>
      <xdr:rowOff>52389</xdr:rowOff>
    </xdr:from>
    <xdr:to>
      <xdr:col>3</xdr:col>
      <xdr:colOff>272143</xdr:colOff>
      <xdr:row>11</xdr:row>
      <xdr:rowOff>128589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F13E04-8052-4560-B662-14BD27F6C560}"/>
            </a:ext>
          </a:extLst>
        </xdr:cNvPr>
        <xdr:cNvSpPr/>
      </xdr:nvSpPr>
      <xdr:spPr>
        <a:xfrm>
          <a:off x="0" y="1751649"/>
          <a:ext cx="2100943" cy="472440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March</a:t>
          </a:r>
        </a:p>
      </xdr:txBody>
    </xdr:sp>
    <xdr:clientData/>
  </xdr:twoCellAnchor>
  <xdr:twoCellAnchor>
    <xdr:from>
      <xdr:col>0</xdr:col>
      <xdr:colOff>0</xdr:colOff>
      <xdr:row>25</xdr:row>
      <xdr:rowOff>8849</xdr:rowOff>
    </xdr:from>
    <xdr:to>
      <xdr:col>3</xdr:col>
      <xdr:colOff>272143</xdr:colOff>
      <xdr:row>27</xdr:row>
      <xdr:rowOff>85048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0264B0F-FC4A-44BB-AFFD-C3C287DB4A64}"/>
            </a:ext>
          </a:extLst>
        </xdr:cNvPr>
        <xdr:cNvSpPr/>
      </xdr:nvSpPr>
      <xdr:spPr>
        <a:xfrm>
          <a:off x="0" y="4878029"/>
          <a:ext cx="2100943" cy="472439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August</a:t>
          </a:r>
        </a:p>
      </xdr:txBody>
    </xdr:sp>
    <xdr:clientData/>
  </xdr:twoCellAnchor>
  <xdr:twoCellAnchor>
    <xdr:from>
      <xdr:col>0</xdr:col>
      <xdr:colOff>0</xdr:colOff>
      <xdr:row>28</xdr:row>
      <xdr:rowOff>41504</xdr:rowOff>
    </xdr:from>
    <xdr:to>
      <xdr:col>3</xdr:col>
      <xdr:colOff>272143</xdr:colOff>
      <xdr:row>30</xdr:row>
      <xdr:rowOff>165329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4C72666-832D-4745-B553-704820BD015D}"/>
            </a:ext>
          </a:extLst>
        </xdr:cNvPr>
        <xdr:cNvSpPr/>
      </xdr:nvSpPr>
      <xdr:spPr>
        <a:xfrm>
          <a:off x="0" y="5512664"/>
          <a:ext cx="2100943" cy="48958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September</a:t>
          </a:r>
        </a:p>
      </xdr:txBody>
    </xdr:sp>
    <xdr:clientData/>
  </xdr:twoCellAnchor>
  <xdr:twoCellAnchor>
    <xdr:from>
      <xdr:col>0</xdr:col>
      <xdr:colOff>369094</xdr:colOff>
      <xdr:row>31</xdr:row>
      <xdr:rowOff>122806</xdr:rowOff>
    </xdr:from>
    <xdr:to>
      <xdr:col>4</xdr:col>
      <xdr:colOff>34018</xdr:colOff>
      <xdr:row>34</xdr:row>
      <xdr:rowOff>20412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33A6CEA-9B87-4E70-90B9-729F53707152}"/>
            </a:ext>
          </a:extLst>
        </xdr:cNvPr>
        <xdr:cNvSpPr/>
      </xdr:nvSpPr>
      <xdr:spPr>
        <a:xfrm>
          <a:off x="369094" y="6194994"/>
          <a:ext cx="2093799" cy="433387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October</a:t>
          </a:r>
        </a:p>
      </xdr:txBody>
    </xdr:sp>
    <xdr:clientData/>
  </xdr:twoCellAnchor>
  <xdr:twoCellAnchor>
    <xdr:from>
      <xdr:col>0</xdr:col>
      <xdr:colOff>0</xdr:colOff>
      <xdr:row>34</xdr:row>
      <xdr:rowOff>132671</xdr:rowOff>
    </xdr:from>
    <xdr:to>
      <xdr:col>3</xdr:col>
      <xdr:colOff>272143</xdr:colOff>
      <xdr:row>37</xdr:row>
      <xdr:rowOff>23815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4DA1F4D-3AEE-4C4D-B1E9-9A9BF4697F61}"/>
            </a:ext>
          </a:extLst>
        </xdr:cNvPr>
        <xdr:cNvSpPr/>
      </xdr:nvSpPr>
      <xdr:spPr>
        <a:xfrm>
          <a:off x="0" y="6701111"/>
          <a:ext cx="2100943" cy="439784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November</a:t>
          </a:r>
        </a:p>
      </xdr:txBody>
    </xdr:sp>
    <xdr:clientData/>
  </xdr:twoCellAnchor>
  <xdr:twoCellAnchor>
    <xdr:from>
      <xdr:col>0</xdr:col>
      <xdr:colOff>0</xdr:colOff>
      <xdr:row>37</xdr:row>
      <xdr:rowOff>154442</xdr:rowOff>
    </xdr:from>
    <xdr:to>
      <xdr:col>3</xdr:col>
      <xdr:colOff>272143</xdr:colOff>
      <xdr:row>40</xdr:row>
      <xdr:rowOff>45587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359BB2D-56AC-44B0-A5D2-13B49D83E75A}"/>
            </a:ext>
          </a:extLst>
        </xdr:cNvPr>
        <xdr:cNvSpPr/>
      </xdr:nvSpPr>
      <xdr:spPr>
        <a:xfrm>
          <a:off x="0" y="7271522"/>
          <a:ext cx="2100943" cy="43978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December</a:t>
          </a:r>
        </a:p>
      </xdr:txBody>
    </xdr:sp>
    <xdr:clientData/>
  </xdr:twoCellAnchor>
  <xdr:twoCellAnchor>
    <xdr:from>
      <xdr:col>0</xdr:col>
      <xdr:colOff>0</xdr:colOff>
      <xdr:row>18</xdr:row>
      <xdr:rowOff>128590</xdr:rowOff>
    </xdr:from>
    <xdr:to>
      <xdr:col>3</xdr:col>
      <xdr:colOff>272143</xdr:colOff>
      <xdr:row>21</xdr:row>
      <xdr:rowOff>19734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F638A68-CEEB-4CBD-BF53-6DDFDA72D15C}"/>
            </a:ext>
          </a:extLst>
        </xdr:cNvPr>
        <xdr:cNvSpPr/>
      </xdr:nvSpPr>
      <xdr:spPr>
        <a:xfrm>
          <a:off x="0" y="3610930"/>
          <a:ext cx="2100943" cy="485504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June</a:t>
          </a:r>
        </a:p>
      </xdr:txBody>
    </xdr:sp>
    <xdr:clientData/>
  </xdr:twoCellAnchor>
  <xdr:twoCellAnchor>
    <xdr:from>
      <xdr:col>0</xdr:col>
      <xdr:colOff>0</xdr:colOff>
      <xdr:row>15</xdr:row>
      <xdr:rowOff>95932</xdr:rowOff>
    </xdr:from>
    <xdr:to>
      <xdr:col>3</xdr:col>
      <xdr:colOff>272143</xdr:colOff>
      <xdr:row>17</xdr:row>
      <xdr:rowOff>189483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8B2AEC6-1D8C-4CDF-97CA-99F2C3AF54C6}"/>
            </a:ext>
          </a:extLst>
        </xdr:cNvPr>
        <xdr:cNvSpPr/>
      </xdr:nvSpPr>
      <xdr:spPr>
        <a:xfrm>
          <a:off x="0" y="2983912"/>
          <a:ext cx="2100943" cy="489791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May</a:t>
          </a:r>
        </a:p>
      </xdr:txBody>
    </xdr:sp>
    <xdr:clientData/>
  </xdr:twoCellAnchor>
  <xdr:twoCellAnchor>
    <xdr:from>
      <xdr:col>0</xdr:col>
      <xdr:colOff>0</xdr:colOff>
      <xdr:row>12</xdr:row>
      <xdr:rowOff>74163</xdr:rowOff>
    </xdr:from>
    <xdr:to>
      <xdr:col>3</xdr:col>
      <xdr:colOff>272143</xdr:colOff>
      <xdr:row>14</xdr:row>
      <xdr:rowOff>150362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1D26951-1F1C-4DFA-9992-C658A448E264}"/>
            </a:ext>
          </a:extLst>
        </xdr:cNvPr>
        <xdr:cNvSpPr/>
      </xdr:nvSpPr>
      <xdr:spPr>
        <a:xfrm>
          <a:off x="0" y="2367783"/>
          <a:ext cx="2100943" cy="472439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April</a:t>
          </a:r>
        </a:p>
      </xdr:txBody>
    </xdr:sp>
    <xdr:clientData/>
  </xdr:twoCellAnchor>
  <xdr:twoCellAnchor>
    <xdr:from>
      <xdr:col>0</xdr:col>
      <xdr:colOff>0</xdr:colOff>
      <xdr:row>21</xdr:row>
      <xdr:rowOff>178596</xdr:rowOff>
    </xdr:from>
    <xdr:to>
      <xdr:col>3</xdr:col>
      <xdr:colOff>272143</xdr:colOff>
      <xdr:row>24</xdr:row>
      <xdr:rowOff>52391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B89B017-69FA-463C-9D01-4F851785E2FB}"/>
            </a:ext>
          </a:extLst>
        </xdr:cNvPr>
        <xdr:cNvSpPr/>
      </xdr:nvSpPr>
      <xdr:spPr>
        <a:xfrm>
          <a:off x="0" y="4255296"/>
          <a:ext cx="2100943" cy="46815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July</a:t>
          </a:r>
        </a:p>
      </xdr:txBody>
    </xdr:sp>
    <xdr:clientData/>
  </xdr:twoCellAnchor>
  <xdr:twoCellAnchor>
    <xdr:from>
      <xdr:col>42</xdr:col>
      <xdr:colOff>599440</xdr:colOff>
      <xdr:row>0</xdr:row>
      <xdr:rowOff>20320</xdr:rowOff>
    </xdr:from>
    <xdr:to>
      <xdr:col>57</xdr:col>
      <xdr:colOff>0</xdr:colOff>
      <xdr:row>3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EAE74AD-FE18-4200-B9F7-ABD5FA41AF68}"/>
            </a:ext>
          </a:extLst>
        </xdr:cNvPr>
        <xdr:cNvSpPr/>
      </xdr:nvSpPr>
      <xdr:spPr>
        <a:xfrm>
          <a:off x="19184620" y="20320"/>
          <a:ext cx="11760200" cy="528320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3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Monthly Report</a:t>
          </a:r>
        </a:p>
      </xdr:txBody>
    </xdr:sp>
    <xdr:clientData/>
  </xdr:twoCellAnchor>
  <xdr:twoCellAnchor>
    <xdr:from>
      <xdr:col>4</xdr:col>
      <xdr:colOff>441434</xdr:colOff>
      <xdr:row>0</xdr:row>
      <xdr:rowOff>105103</xdr:rowOff>
    </xdr:from>
    <xdr:to>
      <xdr:col>5</xdr:col>
      <xdr:colOff>520262</xdr:colOff>
      <xdr:row>1</xdr:row>
      <xdr:rowOff>152400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F171E68-9A4F-4B91-B491-B59292D55E86}"/>
            </a:ext>
          </a:extLst>
        </xdr:cNvPr>
        <xdr:cNvSpPr txBox="1"/>
      </xdr:nvSpPr>
      <xdr:spPr>
        <a:xfrm>
          <a:off x="2879834" y="105103"/>
          <a:ext cx="688428" cy="23017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5</xdr:col>
      <xdr:colOff>525518</xdr:colOff>
      <xdr:row>0</xdr:row>
      <xdr:rowOff>105102</xdr:rowOff>
    </xdr:from>
    <xdr:to>
      <xdr:col>7</xdr:col>
      <xdr:colOff>178676</xdr:colOff>
      <xdr:row>1</xdr:row>
      <xdr:rowOff>147144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B3CF7D16-F315-4E08-B265-A9FB065B9DFC}"/>
            </a:ext>
          </a:extLst>
        </xdr:cNvPr>
        <xdr:cNvSpPr txBox="1"/>
      </xdr:nvSpPr>
      <xdr:spPr>
        <a:xfrm>
          <a:off x="3573518" y="105102"/>
          <a:ext cx="925698" cy="2249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48BF154-D853-4C06-8A77-CF8B6B6C4045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01-Oct-2025</a:t>
          </a:fld>
          <a:endParaRPr lang="en-IN" sz="1100" b="1"/>
        </a:p>
      </xdr:txBody>
    </xdr:sp>
    <xdr:clientData/>
  </xdr:twoCellAnchor>
  <xdr:twoCellAnchor>
    <xdr:from>
      <xdr:col>7</xdr:col>
      <xdr:colOff>289034</xdr:colOff>
      <xdr:row>0</xdr:row>
      <xdr:rowOff>105102</xdr:rowOff>
    </xdr:from>
    <xdr:to>
      <xdr:col>7</xdr:col>
      <xdr:colOff>977462</xdr:colOff>
      <xdr:row>1</xdr:row>
      <xdr:rowOff>152400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083A4EA-87A8-4B14-856A-1E0410EA35E6}"/>
            </a:ext>
          </a:extLst>
        </xdr:cNvPr>
        <xdr:cNvSpPr txBox="1"/>
      </xdr:nvSpPr>
      <xdr:spPr>
        <a:xfrm>
          <a:off x="4609574" y="105102"/>
          <a:ext cx="688428" cy="23017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982718</xdr:colOff>
      <xdr:row>0</xdr:row>
      <xdr:rowOff>105102</xdr:rowOff>
    </xdr:from>
    <xdr:to>
      <xdr:col>8</xdr:col>
      <xdr:colOff>888125</xdr:colOff>
      <xdr:row>1</xdr:row>
      <xdr:rowOff>152400</xdr:rowOff>
    </xdr:to>
    <xdr:sp macro="" textlink="$H$6">
      <xdr:nvSpPr>
        <xdr:cNvPr id="20" name="TextBox 19">
          <a:extLst>
            <a:ext uri="{FF2B5EF4-FFF2-40B4-BE49-F238E27FC236}">
              <a16:creationId xmlns:a16="http://schemas.microsoft.com/office/drawing/2014/main" id="{DEA8439D-28EF-4349-9152-E1345EF8D092}"/>
            </a:ext>
          </a:extLst>
        </xdr:cNvPr>
        <xdr:cNvSpPr txBox="1"/>
      </xdr:nvSpPr>
      <xdr:spPr>
        <a:xfrm>
          <a:off x="5303258" y="105102"/>
          <a:ext cx="926487" cy="2301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C149F28-0450-43B5-AA89-70F407C47701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31-Oct-2025</a:t>
          </a:fld>
          <a:endParaRPr lang="en-IN" sz="1100" b="1"/>
        </a:p>
      </xdr:txBody>
    </xdr:sp>
    <xdr:clientData/>
  </xdr:twoCellAnchor>
  <xdr:twoCellAnchor>
    <xdr:from>
      <xdr:col>8</xdr:col>
      <xdr:colOff>1381124</xdr:colOff>
      <xdr:row>0</xdr:row>
      <xdr:rowOff>76199</xdr:rowOff>
    </xdr:from>
    <xdr:to>
      <xdr:col>23</xdr:col>
      <xdr:colOff>99060</xdr:colOff>
      <xdr:row>2</xdr:row>
      <xdr:rowOff>83342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5F16E60-E0E5-4BD0-9BE5-BE126920051B}"/>
            </a:ext>
          </a:extLst>
        </xdr:cNvPr>
        <xdr:cNvSpPr txBox="1"/>
      </xdr:nvSpPr>
      <xdr:spPr>
        <a:xfrm>
          <a:off x="6722744" y="76199"/>
          <a:ext cx="5225416" cy="372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655007</xdr:colOff>
      <xdr:row>0</xdr:row>
      <xdr:rowOff>105268</xdr:rowOff>
    </xdr:from>
    <xdr:to>
      <xdr:col>18</xdr:col>
      <xdr:colOff>140084</xdr:colOff>
      <xdr:row>2</xdr:row>
      <xdr:rowOff>52879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B8B0D12-EDF5-44C6-A4D2-437F54B8C91F}"/>
            </a:ext>
          </a:extLst>
        </xdr:cNvPr>
        <xdr:cNvSpPr txBox="1"/>
      </xdr:nvSpPr>
      <xdr:spPr>
        <a:xfrm>
          <a:off x="7383467" y="105268"/>
          <a:ext cx="2959797" cy="3133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>
              <a:latin typeface="Times New Roman" panose="02020603050405020304" pitchFamily="18" charset="0"/>
              <a:cs typeface="Times New Roman" panose="02020603050405020304" pitchFamily="18" charset="0"/>
            </a:rPr>
            <a:t>Dashboard For</a:t>
          </a:r>
          <a:r>
            <a:rPr lang="en-IN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 the Month of</a:t>
          </a:r>
          <a:r>
            <a:rPr lang="en-IN" sz="18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 editAs="oneCell">
    <xdr:from>
      <xdr:col>9</xdr:col>
      <xdr:colOff>95805</xdr:colOff>
      <xdr:row>0</xdr:row>
      <xdr:rowOff>69126</xdr:rowOff>
    </xdr:from>
    <xdr:to>
      <xdr:col>9</xdr:col>
      <xdr:colOff>483475</xdr:colOff>
      <xdr:row>2</xdr:row>
      <xdr:rowOff>81857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422ACBFD-FD09-433E-B639-3C795E98B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824265" y="69126"/>
          <a:ext cx="387670" cy="378491"/>
        </a:xfrm>
        <a:prstGeom prst="rect">
          <a:avLst/>
        </a:prstGeom>
      </xdr:spPr>
    </xdr:pic>
    <xdr:clientData/>
  </xdr:twoCellAnchor>
  <xdr:twoCellAnchor>
    <xdr:from>
      <xdr:col>18</xdr:col>
      <xdr:colOff>205740</xdr:colOff>
      <xdr:row>0</xdr:row>
      <xdr:rowOff>136634</xdr:rowOff>
    </xdr:from>
    <xdr:to>
      <xdr:col>23</xdr:col>
      <xdr:colOff>30479</xdr:colOff>
      <xdr:row>2</xdr:row>
      <xdr:rowOff>21020</xdr:rowOff>
    </xdr:to>
    <xdr:sp macro="" textlink="$I$5">
      <xdr:nvSpPr>
        <xdr:cNvPr id="24" name="TextBox 23">
          <a:extLst>
            <a:ext uri="{FF2B5EF4-FFF2-40B4-BE49-F238E27FC236}">
              <a16:creationId xmlns:a16="http://schemas.microsoft.com/office/drawing/2014/main" id="{B1A25785-5F8B-4488-973D-09DD7EB2A6AC}"/>
            </a:ext>
          </a:extLst>
        </xdr:cNvPr>
        <xdr:cNvSpPr txBox="1"/>
      </xdr:nvSpPr>
      <xdr:spPr>
        <a:xfrm>
          <a:off x="10408920" y="136634"/>
          <a:ext cx="1470659" cy="25014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0CE7C42-3221-4D91-B0E5-69AF3A2979D1}" type="TxLink">
            <a:rPr lang="en-US" sz="1800" b="1" i="0" u="none" strike="noStrike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October</a:t>
          </a:fld>
          <a:endParaRPr lang="en-IN" sz="18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332400</xdr:colOff>
      <xdr:row>0</xdr:row>
      <xdr:rowOff>100435</xdr:rowOff>
    </xdr:from>
    <xdr:to>
      <xdr:col>25</xdr:col>
      <xdr:colOff>309626</xdr:colOff>
      <xdr:row>2</xdr:row>
      <xdr:rowOff>20878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9E94AD0-0C87-4DED-B652-E2CA467E305A}"/>
            </a:ext>
          </a:extLst>
        </xdr:cNvPr>
        <xdr:cNvSpPr txBox="1"/>
      </xdr:nvSpPr>
      <xdr:spPr>
        <a:xfrm>
          <a:off x="12524400" y="100435"/>
          <a:ext cx="373466" cy="2862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🟢</a:t>
          </a:r>
          <a:endParaRPr lang="en-IN" sz="1100"/>
        </a:p>
      </xdr:txBody>
    </xdr:sp>
    <xdr:clientData/>
  </xdr:twoCellAnchor>
  <xdr:twoCellAnchor>
    <xdr:from>
      <xdr:col>25</xdr:col>
      <xdr:colOff>178676</xdr:colOff>
      <xdr:row>0</xdr:row>
      <xdr:rowOff>94593</xdr:rowOff>
    </xdr:from>
    <xdr:to>
      <xdr:col>28</xdr:col>
      <xdr:colOff>89338</xdr:colOff>
      <xdr:row>2</xdr:row>
      <xdr:rowOff>10510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C3ACB57-E7F6-4B1C-99BB-929B3961041E}"/>
            </a:ext>
          </a:extLst>
        </xdr:cNvPr>
        <xdr:cNvSpPr txBox="1"/>
      </xdr:nvSpPr>
      <xdr:spPr>
        <a:xfrm>
          <a:off x="12766916" y="94593"/>
          <a:ext cx="825062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Present</a:t>
          </a:r>
        </a:p>
      </xdr:txBody>
    </xdr:sp>
    <xdr:clientData/>
  </xdr:twoCellAnchor>
  <xdr:twoCellAnchor>
    <xdr:from>
      <xdr:col>29</xdr:col>
      <xdr:colOff>7901</xdr:colOff>
      <xdr:row>0</xdr:row>
      <xdr:rowOff>66223</xdr:rowOff>
    </xdr:from>
    <xdr:to>
      <xdr:col>30</xdr:col>
      <xdr:colOff>72571</xdr:colOff>
      <xdr:row>2</xdr:row>
      <xdr:rowOff>67388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C94EFCD-2261-40F0-8105-CF947594412B}"/>
            </a:ext>
          </a:extLst>
        </xdr:cNvPr>
        <xdr:cNvSpPr txBox="1"/>
      </xdr:nvSpPr>
      <xdr:spPr>
        <a:xfrm>
          <a:off x="13868681" y="66223"/>
          <a:ext cx="438050" cy="366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aseline="0"/>
            <a:t>🔴</a:t>
          </a:r>
          <a:endParaRPr lang="en-IN" sz="1200"/>
        </a:p>
      </xdr:txBody>
    </xdr:sp>
    <xdr:clientData/>
  </xdr:twoCellAnchor>
  <xdr:twoCellAnchor>
    <xdr:from>
      <xdr:col>29</xdr:col>
      <xdr:colOff>297936</xdr:colOff>
      <xdr:row>0</xdr:row>
      <xdr:rowOff>99777</xdr:rowOff>
    </xdr:from>
    <xdr:to>
      <xdr:col>32</xdr:col>
      <xdr:colOff>11618</xdr:colOff>
      <xdr:row>2</xdr:row>
      <xdr:rowOff>15694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46E84B5-5FA9-4631-A2A6-C0776DB433E3}"/>
            </a:ext>
          </a:extLst>
        </xdr:cNvPr>
        <xdr:cNvSpPr txBox="1"/>
      </xdr:nvSpPr>
      <xdr:spPr>
        <a:xfrm>
          <a:off x="14158716" y="99777"/>
          <a:ext cx="826202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Absent</a:t>
          </a:r>
        </a:p>
      </xdr:txBody>
    </xdr:sp>
    <xdr:clientData/>
  </xdr:twoCellAnchor>
  <xdr:twoCellAnchor>
    <xdr:from>
      <xdr:col>32</xdr:col>
      <xdr:colOff>315812</xdr:colOff>
      <xdr:row>0</xdr:row>
      <xdr:rowOff>83848</xdr:rowOff>
    </xdr:from>
    <xdr:to>
      <xdr:col>34</xdr:col>
      <xdr:colOff>136849</xdr:colOff>
      <xdr:row>2</xdr:row>
      <xdr:rowOff>85013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7D4B40E-B65B-4ED8-9E0D-FA0A75EF3EA4}"/>
            </a:ext>
          </a:extLst>
        </xdr:cNvPr>
        <xdr:cNvSpPr txBox="1"/>
      </xdr:nvSpPr>
      <xdr:spPr>
        <a:xfrm>
          <a:off x="15289112" y="83848"/>
          <a:ext cx="438257" cy="366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/>
            <a:t>🟡</a:t>
          </a:r>
          <a:endParaRPr lang="en-IN" sz="1200"/>
        </a:p>
      </xdr:txBody>
    </xdr:sp>
    <xdr:clientData/>
  </xdr:twoCellAnchor>
  <xdr:twoCellAnchor>
    <xdr:from>
      <xdr:col>33</xdr:col>
      <xdr:colOff>175602</xdr:colOff>
      <xdr:row>0</xdr:row>
      <xdr:rowOff>117402</xdr:rowOff>
    </xdr:from>
    <xdr:to>
      <xdr:col>36</xdr:col>
      <xdr:colOff>86263</xdr:colOff>
      <xdr:row>2</xdr:row>
      <xdr:rowOff>33319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FA17F73-9B9F-4006-8362-C2EE1B6CC1F0}"/>
            </a:ext>
          </a:extLst>
        </xdr:cNvPr>
        <xdr:cNvSpPr txBox="1"/>
      </xdr:nvSpPr>
      <xdr:spPr>
        <a:xfrm>
          <a:off x="15507042" y="117402"/>
          <a:ext cx="825061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Leave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21771</xdr:colOff>
      <xdr:row>0</xdr:row>
      <xdr:rowOff>10887</xdr:rowOff>
    </xdr:from>
    <xdr:to>
      <xdr:col>42</xdr:col>
      <xdr:colOff>31750</xdr:colOff>
      <xdr:row>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9D682CD-B711-4AC1-A7B2-4128A5AA467C}"/>
            </a:ext>
          </a:extLst>
        </xdr:cNvPr>
        <xdr:cNvSpPr/>
      </xdr:nvSpPr>
      <xdr:spPr>
        <a:xfrm>
          <a:off x="1850571" y="10887"/>
          <a:ext cx="16766359" cy="537753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21771</xdr:colOff>
      <xdr:row>41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E9419C1-9CAB-493D-A9E1-AEC366133341}"/>
            </a:ext>
          </a:extLst>
        </xdr:cNvPr>
        <xdr:cNvSpPr/>
      </xdr:nvSpPr>
      <xdr:spPr>
        <a:xfrm>
          <a:off x="0" y="0"/>
          <a:ext cx="1850571" cy="78486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5442</xdr:colOff>
      <xdr:row>2</xdr:row>
      <xdr:rowOff>125865</xdr:rowOff>
    </xdr:from>
    <xdr:to>
      <xdr:col>3</xdr:col>
      <xdr:colOff>277585</xdr:colOff>
      <xdr:row>5</xdr:row>
      <xdr:rowOff>93207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3EB0E3-5620-4AFF-A428-197235313F29}"/>
            </a:ext>
          </a:extLst>
        </xdr:cNvPr>
        <xdr:cNvSpPr/>
      </xdr:nvSpPr>
      <xdr:spPr>
        <a:xfrm>
          <a:off x="5442" y="483053"/>
          <a:ext cx="2093799" cy="503123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0</xdr:colOff>
      <xdr:row>6</xdr:row>
      <xdr:rowOff>67355</xdr:rowOff>
    </xdr:from>
    <xdr:to>
      <xdr:col>3</xdr:col>
      <xdr:colOff>272143</xdr:colOff>
      <xdr:row>8</xdr:row>
      <xdr:rowOff>95932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5A7DED-08A9-436A-B598-E0FD3AB6C04F}"/>
            </a:ext>
          </a:extLst>
        </xdr:cNvPr>
        <xdr:cNvSpPr/>
      </xdr:nvSpPr>
      <xdr:spPr>
        <a:xfrm>
          <a:off x="0" y="1164635"/>
          <a:ext cx="2100943" cy="432437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February</a:t>
          </a:r>
        </a:p>
      </xdr:txBody>
    </xdr:sp>
    <xdr:clientData/>
  </xdr:twoCellAnchor>
  <xdr:twoCellAnchor>
    <xdr:from>
      <xdr:col>0</xdr:col>
      <xdr:colOff>0</xdr:colOff>
      <xdr:row>9</xdr:row>
      <xdr:rowOff>52389</xdr:rowOff>
    </xdr:from>
    <xdr:to>
      <xdr:col>3</xdr:col>
      <xdr:colOff>272143</xdr:colOff>
      <xdr:row>11</xdr:row>
      <xdr:rowOff>128589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F6CD130-9FAE-4593-8909-F92F10C930D3}"/>
            </a:ext>
          </a:extLst>
        </xdr:cNvPr>
        <xdr:cNvSpPr/>
      </xdr:nvSpPr>
      <xdr:spPr>
        <a:xfrm>
          <a:off x="0" y="1751649"/>
          <a:ext cx="2100943" cy="472440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March</a:t>
          </a:r>
        </a:p>
      </xdr:txBody>
    </xdr:sp>
    <xdr:clientData/>
  </xdr:twoCellAnchor>
  <xdr:twoCellAnchor>
    <xdr:from>
      <xdr:col>0</xdr:col>
      <xdr:colOff>0</xdr:colOff>
      <xdr:row>25</xdr:row>
      <xdr:rowOff>8849</xdr:rowOff>
    </xdr:from>
    <xdr:to>
      <xdr:col>3</xdr:col>
      <xdr:colOff>272143</xdr:colOff>
      <xdr:row>27</xdr:row>
      <xdr:rowOff>85048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5DA3A03-992E-4E34-9C28-91C281EC9D17}"/>
            </a:ext>
          </a:extLst>
        </xdr:cNvPr>
        <xdr:cNvSpPr/>
      </xdr:nvSpPr>
      <xdr:spPr>
        <a:xfrm>
          <a:off x="0" y="4878029"/>
          <a:ext cx="2100943" cy="472439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August</a:t>
          </a:r>
        </a:p>
      </xdr:txBody>
    </xdr:sp>
    <xdr:clientData/>
  </xdr:twoCellAnchor>
  <xdr:twoCellAnchor>
    <xdr:from>
      <xdr:col>0</xdr:col>
      <xdr:colOff>0</xdr:colOff>
      <xdr:row>28</xdr:row>
      <xdr:rowOff>41504</xdr:rowOff>
    </xdr:from>
    <xdr:to>
      <xdr:col>3</xdr:col>
      <xdr:colOff>272143</xdr:colOff>
      <xdr:row>30</xdr:row>
      <xdr:rowOff>165329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1E6B1FC-89D6-4420-BB8B-E174B9A72D85}"/>
            </a:ext>
          </a:extLst>
        </xdr:cNvPr>
        <xdr:cNvSpPr/>
      </xdr:nvSpPr>
      <xdr:spPr>
        <a:xfrm>
          <a:off x="0" y="5512664"/>
          <a:ext cx="2100943" cy="48958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September</a:t>
          </a:r>
        </a:p>
      </xdr:txBody>
    </xdr:sp>
    <xdr:clientData/>
  </xdr:twoCellAnchor>
  <xdr:twoCellAnchor>
    <xdr:from>
      <xdr:col>0</xdr:col>
      <xdr:colOff>0</xdr:colOff>
      <xdr:row>31</xdr:row>
      <xdr:rowOff>110900</xdr:rowOff>
    </xdr:from>
    <xdr:to>
      <xdr:col>3</xdr:col>
      <xdr:colOff>272143</xdr:colOff>
      <xdr:row>34</xdr:row>
      <xdr:rowOff>8506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FE53676-5614-4DC1-876E-B66A9B37E4A2}"/>
            </a:ext>
          </a:extLst>
        </xdr:cNvPr>
        <xdr:cNvSpPr/>
      </xdr:nvSpPr>
      <xdr:spPr>
        <a:xfrm>
          <a:off x="0" y="6130700"/>
          <a:ext cx="2100943" cy="446246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October</a:t>
          </a:r>
        </a:p>
      </xdr:txBody>
    </xdr:sp>
    <xdr:clientData/>
  </xdr:twoCellAnchor>
  <xdr:twoCellAnchor>
    <xdr:from>
      <xdr:col>0</xdr:col>
      <xdr:colOff>321469</xdr:colOff>
      <xdr:row>34</xdr:row>
      <xdr:rowOff>156484</xdr:rowOff>
    </xdr:from>
    <xdr:to>
      <xdr:col>3</xdr:col>
      <xdr:colOff>593612</xdr:colOff>
      <xdr:row>37</xdr:row>
      <xdr:rowOff>47628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31611A8-6297-4CA9-A312-FF13A9F33A9B}"/>
            </a:ext>
          </a:extLst>
        </xdr:cNvPr>
        <xdr:cNvSpPr/>
      </xdr:nvSpPr>
      <xdr:spPr>
        <a:xfrm>
          <a:off x="321469" y="6764453"/>
          <a:ext cx="2093799" cy="426925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November</a:t>
          </a:r>
        </a:p>
      </xdr:txBody>
    </xdr:sp>
    <xdr:clientData/>
  </xdr:twoCellAnchor>
  <xdr:twoCellAnchor>
    <xdr:from>
      <xdr:col>0</xdr:col>
      <xdr:colOff>0</xdr:colOff>
      <xdr:row>37</xdr:row>
      <xdr:rowOff>154442</xdr:rowOff>
    </xdr:from>
    <xdr:to>
      <xdr:col>3</xdr:col>
      <xdr:colOff>272143</xdr:colOff>
      <xdr:row>40</xdr:row>
      <xdr:rowOff>45587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631966F-C4EA-407A-9BF1-505E7D1FAB2E}"/>
            </a:ext>
          </a:extLst>
        </xdr:cNvPr>
        <xdr:cNvSpPr/>
      </xdr:nvSpPr>
      <xdr:spPr>
        <a:xfrm>
          <a:off x="0" y="7271522"/>
          <a:ext cx="2100943" cy="43978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December</a:t>
          </a:r>
        </a:p>
      </xdr:txBody>
    </xdr:sp>
    <xdr:clientData/>
  </xdr:twoCellAnchor>
  <xdr:twoCellAnchor>
    <xdr:from>
      <xdr:col>0</xdr:col>
      <xdr:colOff>0</xdr:colOff>
      <xdr:row>18</xdr:row>
      <xdr:rowOff>128590</xdr:rowOff>
    </xdr:from>
    <xdr:to>
      <xdr:col>3</xdr:col>
      <xdr:colOff>272143</xdr:colOff>
      <xdr:row>21</xdr:row>
      <xdr:rowOff>19734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D6D69E4-51CC-4F3A-BDF5-E859234B603C}"/>
            </a:ext>
          </a:extLst>
        </xdr:cNvPr>
        <xdr:cNvSpPr/>
      </xdr:nvSpPr>
      <xdr:spPr>
        <a:xfrm>
          <a:off x="0" y="3610930"/>
          <a:ext cx="2100943" cy="485504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June</a:t>
          </a:r>
        </a:p>
      </xdr:txBody>
    </xdr:sp>
    <xdr:clientData/>
  </xdr:twoCellAnchor>
  <xdr:twoCellAnchor>
    <xdr:from>
      <xdr:col>0</xdr:col>
      <xdr:colOff>0</xdr:colOff>
      <xdr:row>15</xdr:row>
      <xdr:rowOff>95932</xdr:rowOff>
    </xdr:from>
    <xdr:to>
      <xdr:col>3</xdr:col>
      <xdr:colOff>272143</xdr:colOff>
      <xdr:row>17</xdr:row>
      <xdr:rowOff>189483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BA8F42F-021F-4FBC-BCF2-D882DCEB7A0B}"/>
            </a:ext>
          </a:extLst>
        </xdr:cNvPr>
        <xdr:cNvSpPr/>
      </xdr:nvSpPr>
      <xdr:spPr>
        <a:xfrm>
          <a:off x="0" y="2983912"/>
          <a:ext cx="2100943" cy="489791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May</a:t>
          </a:r>
        </a:p>
      </xdr:txBody>
    </xdr:sp>
    <xdr:clientData/>
  </xdr:twoCellAnchor>
  <xdr:twoCellAnchor>
    <xdr:from>
      <xdr:col>0</xdr:col>
      <xdr:colOff>0</xdr:colOff>
      <xdr:row>12</xdr:row>
      <xdr:rowOff>74163</xdr:rowOff>
    </xdr:from>
    <xdr:to>
      <xdr:col>3</xdr:col>
      <xdr:colOff>272143</xdr:colOff>
      <xdr:row>14</xdr:row>
      <xdr:rowOff>150362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4269E76-D69C-4653-BAC0-D6D77772E9EF}"/>
            </a:ext>
          </a:extLst>
        </xdr:cNvPr>
        <xdr:cNvSpPr/>
      </xdr:nvSpPr>
      <xdr:spPr>
        <a:xfrm>
          <a:off x="0" y="2367783"/>
          <a:ext cx="2100943" cy="472439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April</a:t>
          </a:r>
        </a:p>
      </xdr:txBody>
    </xdr:sp>
    <xdr:clientData/>
  </xdr:twoCellAnchor>
  <xdr:twoCellAnchor>
    <xdr:from>
      <xdr:col>0</xdr:col>
      <xdr:colOff>0</xdr:colOff>
      <xdr:row>21</xdr:row>
      <xdr:rowOff>178596</xdr:rowOff>
    </xdr:from>
    <xdr:to>
      <xdr:col>3</xdr:col>
      <xdr:colOff>272143</xdr:colOff>
      <xdr:row>24</xdr:row>
      <xdr:rowOff>52391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82D4ED1-CBD6-41BB-9405-A5174A17FE5D}"/>
            </a:ext>
          </a:extLst>
        </xdr:cNvPr>
        <xdr:cNvSpPr/>
      </xdr:nvSpPr>
      <xdr:spPr>
        <a:xfrm>
          <a:off x="0" y="4255296"/>
          <a:ext cx="2100943" cy="46815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July</a:t>
          </a:r>
        </a:p>
      </xdr:txBody>
    </xdr:sp>
    <xdr:clientData/>
  </xdr:twoCellAnchor>
  <xdr:twoCellAnchor>
    <xdr:from>
      <xdr:col>42</xdr:col>
      <xdr:colOff>599440</xdr:colOff>
      <xdr:row>0</xdr:row>
      <xdr:rowOff>20320</xdr:rowOff>
    </xdr:from>
    <xdr:to>
      <xdr:col>57</xdr:col>
      <xdr:colOff>0</xdr:colOff>
      <xdr:row>3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5222DD3-B069-4B01-91F6-851434AD0313}"/>
            </a:ext>
          </a:extLst>
        </xdr:cNvPr>
        <xdr:cNvSpPr/>
      </xdr:nvSpPr>
      <xdr:spPr>
        <a:xfrm>
          <a:off x="19184620" y="20320"/>
          <a:ext cx="11760200" cy="528320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3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Monthly Report</a:t>
          </a:r>
        </a:p>
      </xdr:txBody>
    </xdr:sp>
    <xdr:clientData/>
  </xdr:twoCellAnchor>
  <xdr:twoCellAnchor>
    <xdr:from>
      <xdr:col>4</xdr:col>
      <xdr:colOff>441434</xdr:colOff>
      <xdr:row>0</xdr:row>
      <xdr:rowOff>105103</xdr:rowOff>
    </xdr:from>
    <xdr:to>
      <xdr:col>5</xdr:col>
      <xdr:colOff>520262</xdr:colOff>
      <xdr:row>1</xdr:row>
      <xdr:rowOff>152400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050898E-6C19-457B-9949-95AE7812B543}"/>
            </a:ext>
          </a:extLst>
        </xdr:cNvPr>
        <xdr:cNvSpPr txBox="1"/>
      </xdr:nvSpPr>
      <xdr:spPr>
        <a:xfrm>
          <a:off x="2879834" y="105103"/>
          <a:ext cx="688428" cy="23017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5</xdr:col>
      <xdr:colOff>525518</xdr:colOff>
      <xdr:row>0</xdr:row>
      <xdr:rowOff>105102</xdr:rowOff>
    </xdr:from>
    <xdr:to>
      <xdr:col>7</xdr:col>
      <xdr:colOff>178676</xdr:colOff>
      <xdr:row>1</xdr:row>
      <xdr:rowOff>147144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33FD0D85-84C6-4147-B067-5A1010AB53D3}"/>
            </a:ext>
          </a:extLst>
        </xdr:cNvPr>
        <xdr:cNvSpPr txBox="1"/>
      </xdr:nvSpPr>
      <xdr:spPr>
        <a:xfrm>
          <a:off x="3573518" y="105102"/>
          <a:ext cx="925698" cy="2249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48BF154-D853-4C06-8A77-CF8B6B6C4045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01-Nov-2025</a:t>
          </a:fld>
          <a:endParaRPr lang="en-IN" sz="1100" b="1"/>
        </a:p>
      </xdr:txBody>
    </xdr:sp>
    <xdr:clientData/>
  </xdr:twoCellAnchor>
  <xdr:twoCellAnchor>
    <xdr:from>
      <xdr:col>7</xdr:col>
      <xdr:colOff>289034</xdr:colOff>
      <xdr:row>0</xdr:row>
      <xdr:rowOff>105102</xdr:rowOff>
    </xdr:from>
    <xdr:to>
      <xdr:col>7</xdr:col>
      <xdr:colOff>977462</xdr:colOff>
      <xdr:row>1</xdr:row>
      <xdr:rowOff>152400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4BAD2B7-F609-47A4-A6B4-91E98CEE8AF5}"/>
            </a:ext>
          </a:extLst>
        </xdr:cNvPr>
        <xdr:cNvSpPr txBox="1"/>
      </xdr:nvSpPr>
      <xdr:spPr>
        <a:xfrm>
          <a:off x="4609574" y="105102"/>
          <a:ext cx="688428" cy="23017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982718</xdr:colOff>
      <xdr:row>0</xdr:row>
      <xdr:rowOff>105102</xdr:rowOff>
    </xdr:from>
    <xdr:to>
      <xdr:col>8</xdr:col>
      <xdr:colOff>888125</xdr:colOff>
      <xdr:row>1</xdr:row>
      <xdr:rowOff>152400</xdr:rowOff>
    </xdr:to>
    <xdr:sp macro="" textlink="$H$6">
      <xdr:nvSpPr>
        <xdr:cNvPr id="20" name="TextBox 19">
          <a:extLst>
            <a:ext uri="{FF2B5EF4-FFF2-40B4-BE49-F238E27FC236}">
              <a16:creationId xmlns:a16="http://schemas.microsoft.com/office/drawing/2014/main" id="{9DE05B4E-9CE7-4F0C-BD20-16388AE69939}"/>
            </a:ext>
          </a:extLst>
        </xdr:cNvPr>
        <xdr:cNvSpPr txBox="1"/>
      </xdr:nvSpPr>
      <xdr:spPr>
        <a:xfrm>
          <a:off x="5303258" y="105102"/>
          <a:ext cx="926487" cy="2301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C149F28-0450-43B5-AA89-70F407C47701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30-Nov-2025</a:t>
          </a:fld>
          <a:endParaRPr lang="en-IN" sz="1100" b="1"/>
        </a:p>
      </xdr:txBody>
    </xdr:sp>
    <xdr:clientData/>
  </xdr:twoCellAnchor>
  <xdr:twoCellAnchor>
    <xdr:from>
      <xdr:col>8</xdr:col>
      <xdr:colOff>1381124</xdr:colOff>
      <xdr:row>0</xdr:row>
      <xdr:rowOff>76199</xdr:rowOff>
    </xdr:from>
    <xdr:to>
      <xdr:col>23</xdr:col>
      <xdr:colOff>99060</xdr:colOff>
      <xdr:row>2</xdr:row>
      <xdr:rowOff>83342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27393AF-D087-450B-A010-5EF082B6F999}"/>
            </a:ext>
          </a:extLst>
        </xdr:cNvPr>
        <xdr:cNvSpPr txBox="1"/>
      </xdr:nvSpPr>
      <xdr:spPr>
        <a:xfrm>
          <a:off x="6722744" y="76199"/>
          <a:ext cx="5225416" cy="372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655007</xdr:colOff>
      <xdr:row>0</xdr:row>
      <xdr:rowOff>105268</xdr:rowOff>
    </xdr:from>
    <xdr:to>
      <xdr:col>18</xdr:col>
      <xdr:colOff>140084</xdr:colOff>
      <xdr:row>2</xdr:row>
      <xdr:rowOff>52879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F589DD6-B369-4804-9D59-83DF1C5B6BBB}"/>
            </a:ext>
          </a:extLst>
        </xdr:cNvPr>
        <xdr:cNvSpPr txBox="1"/>
      </xdr:nvSpPr>
      <xdr:spPr>
        <a:xfrm>
          <a:off x="7383467" y="105268"/>
          <a:ext cx="2959797" cy="3133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>
              <a:latin typeface="Times New Roman" panose="02020603050405020304" pitchFamily="18" charset="0"/>
              <a:cs typeface="Times New Roman" panose="02020603050405020304" pitchFamily="18" charset="0"/>
            </a:rPr>
            <a:t>Dashboard For</a:t>
          </a:r>
          <a:r>
            <a:rPr lang="en-IN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 the Month of</a:t>
          </a:r>
          <a:r>
            <a:rPr lang="en-IN" sz="18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 editAs="oneCell">
    <xdr:from>
      <xdr:col>9</xdr:col>
      <xdr:colOff>95805</xdr:colOff>
      <xdr:row>0</xdr:row>
      <xdr:rowOff>69126</xdr:rowOff>
    </xdr:from>
    <xdr:to>
      <xdr:col>9</xdr:col>
      <xdr:colOff>483475</xdr:colOff>
      <xdr:row>2</xdr:row>
      <xdr:rowOff>81857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67591089-A38E-413C-BCBB-5F67902FE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824265" y="69126"/>
          <a:ext cx="387670" cy="378491"/>
        </a:xfrm>
        <a:prstGeom prst="rect">
          <a:avLst/>
        </a:prstGeom>
      </xdr:spPr>
    </xdr:pic>
    <xdr:clientData/>
  </xdr:twoCellAnchor>
  <xdr:twoCellAnchor>
    <xdr:from>
      <xdr:col>18</xdr:col>
      <xdr:colOff>205740</xdr:colOff>
      <xdr:row>0</xdr:row>
      <xdr:rowOff>136634</xdr:rowOff>
    </xdr:from>
    <xdr:to>
      <xdr:col>23</xdr:col>
      <xdr:colOff>30479</xdr:colOff>
      <xdr:row>2</xdr:row>
      <xdr:rowOff>21020</xdr:rowOff>
    </xdr:to>
    <xdr:sp macro="" textlink="$I$5">
      <xdr:nvSpPr>
        <xdr:cNvPr id="24" name="TextBox 23">
          <a:extLst>
            <a:ext uri="{FF2B5EF4-FFF2-40B4-BE49-F238E27FC236}">
              <a16:creationId xmlns:a16="http://schemas.microsoft.com/office/drawing/2014/main" id="{856C0F44-FC98-4BF0-997E-FDCA1CAAF782}"/>
            </a:ext>
          </a:extLst>
        </xdr:cNvPr>
        <xdr:cNvSpPr txBox="1"/>
      </xdr:nvSpPr>
      <xdr:spPr>
        <a:xfrm>
          <a:off x="10408920" y="136634"/>
          <a:ext cx="1470659" cy="25014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0CE7C42-3221-4D91-B0E5-69AF3A2979D1}" type="TxLink">
            <a:rPr lang="en-US" sz="1800" b="1" i="0" u="none" strike="noStrike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November</a:t>
          </a:fld>
          <a:endParaRPr lang="en-IN" sz="18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332400</xdr:colOff>
      <xdr:row>0</xdr:row>
      <xdr:rowOff>100435</xdr:rowOff>
    </xdr:from>
    <xdr:to>
      <xdr:col>25</xdr:col>
      <xdr:colOff>309626</xdr:colOff>
      <xdr:row>2</xdr:row>
      <xdr:rowOff>20878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F90C51C-20E4-4F4E-8471-C5A033FFC3D9}"/>
            </a:ext>
          </a:extLst>
        </xdr:cNvPr>
        <xdr:cNvSpPr txBox="1"/>
      </xdr:nvSpPr>
      <xdr:spPr>
        <a:xfrm>
          <a:off x="12524400" y="100435"/>
          <a:ext cx="373466" cy="2862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🟢</a:t>
          </a:r>
          <a:endParaRPr lang="en-IN" sz="1100"/>
        </a:p>
      </xdr:txBody>
    </xdr:sp>
    <xdr:clientData/>
  </xdr:twoCellAnchor>
  <xdr:twoCellAnchor>
    <xdr:from>
      <xdr:col>25</xdr:col>
      <xdr:colOff>178676</xdr:colOff>
      <xdr:row>0</xdr:row>
      <xdr:rowOff>94593</xdr:rowOff>
    </xdr:from>
    <xdr:to>
      <xdr:col>28</xdr:col>
      <xdr:colOff>89338</xdr:colOff>
      <xdr:row>2</xdr:row>
      <xdr:rowOff>10510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D01E24F-CA27-4883-BC4B-18D216782E75}"/>
            </a:ext>
          </a:extLst>
        </xdr:cNvPr>
        <xdr:cNvSpPr txBox="1"/>
      </xdr:nvSpPr>
      <xdr:spPr>
        <a:xfrm>
          <a:off x="12766916" y="94593"/>
          <a:ext cx="825062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Present</a:t>
          </a:r>
        </a:p>
      </xdr:txBody>
    </xdr:sp>
    <xdr:clientData/>
  </xdr:twoCellAnchor>
  <xdr:twoCellAnchor>
    <xdr:from>
      <xdr:col>29</xdr:col>
      <xdr:colOff>7901</xdr:colOff>
      <xdr:row>0</xdr:row>
      <xdr:rowOff>66223</xdr:rowOff>
    </xdr:from>
    <xdr:to>
      <xdr:col>30</xdr:col>
      <xdr:colOff>72571</xdr:colOff>
      <xdr:row>2</xdr:row>
      <xdr:rowOff>67388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53FF7B6-2197-4DEE-898A-AF1E25099080}"/>
            </a:ext>
          </a:extLst>
        </xdr:cNvPr>
        <xdr:cNvSpPr txBox="1"/>
      </xdr:nvSpPr>
      <xdr:spPr>
        <a:xfrm>
          <a:off x="13868681" y="66223"/>
          <a:ext cx="438050" cy="366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aseline="0"/>
            <a:t>🔴</a:t>
          </a:r>
          <a:endParaRPr lang="en-IN" sz="1200"/>
        </a:p>
      </xdr:txBody>
    </xdr:sp>
    <xdr:clientData/>
  </xdr:twoCellAnchor>
  <xdr:twoCellAnchor>
    <xdr:from>
      <xdr:col>29</xdr:col>
      <xdr:colOff>297936</xdr:colOff>
      <xdr:row>0</xdr:row>
      <xdr:rowOff>99777</xdr:rowOff>
    </xdr:from>
    <xdr:to>
      <xdr:col>32</xdr:col>
      <xdr:colOff>11618</xdr:colOff>
      <xdr:row>2</xdr:row>
      <xdr:rowOff>15694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D574BDB-5CBB-4DD8-8F5B-06644BA3419B}"/>
            </a:ext>
          </a:extLst>
        </xdr:cNvPr>
        <xdr:cNvSpPr txBox="1"/>
      </xdr:nvSpPr>
      <xdr:spPr>
        <a:xfrm>
          <a:off x="14158716" y="99777"/>
          <a:ext cx="826202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Absent</a:t>
          </a:r>
        </a:p>
      </xdr:txBody>
    </xdr:sp>
    <xdr:clientData/>
  </xdr:twoCellAnchor>
  <xdr:twoCellAnchor>
    <xdr:from>
      <xdr:col>32</xdr:col>
      <xdr:colOff>315812</xdr:colOff>
      <xdr:row>0</xdr:row>
      <xdr:rowOff>83848</xdr:rowOff>
    </xdr:from>
    <xdr:to>
      <xdr:col>34</xdr:col>
      <xdr:colOff>136849</xdr:colOff>
      <xdr:row>2</xdr:row>
      <xdr:rowOff>85013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9C8D333-29B9-4257-BABC-18DC4F612231}"/>
            </a:ext>
          </a:extLst>
        </xdr:cNvPr>
        <xdr:cNvSpPr txBox="1"/>
      </xdr:nvSpPr>
      <xdr:spPr>
        <a:xfrm>
          <a:off x="15289112" y="83848"/>
          <a:ext cx="438257" cy="366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/>
            <a:t>🟡</a:t>
          </a:r>
          <a:endParaRPr lang="en-IN" sz="1200"/>
        </a:p>
      </xdr:txBody>
    </xdr:sp>
    <xdr:clientData/>
  </xdr:twoCellAnchor>
  <xdr:twoCellAnchor>
    <xdr:from>
      <xdr:col>33</xdr:col>
      <xdr:colOff>175602</xdr:colOff>
      <xdr:row>0</xdr:row>
      <xdr:rowOff>117402</xdr:rowOff>
    </xdr:from>
    <xdr:to>
      <xdr:col>36</xdr:col>
      <xdr:colOff>86263</xdr:colOff>
      <xdr:row>2</xdr:row>
      <xdr:rowOff>33319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1FF3787-10DD-4C8A-901B-D36D49E98058}"/>
            </a:ext>
          </a:extLst>
        </xdr:cNvPr>
        <xdr:cNvSpPr txBox="1"/>
      </xdr:nvSpPr>
      <xdr:spPr>
        <a:xfrm>
          <a:off x="15507042" y="117402"/>
          <a:ext cx="825061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Leave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21771</xdr:colOff>
      <xdr:row>0</xdr:row>
      <xdr:rowOff>10887</xdr:rowOff>
    </xdr:from>
    <xdr:to>
      <xdr:col>42</xdr:col>
      <xdr:colOff>31750</xdr:colOff>
      <xdr:row>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5E3DE20-5E40-4B1E-A2BC-563F0714E94F}"/>
            </a:ext>
          </a:extLst>
        </xdr:cNvPr>
        <xdr:cNvSpPr/>
      </xdr:nvSpPr>
      <xdr:spPr>
        <a:xfrm>
          <a:off x="1850571" y="10887"/>
          <a:ext cx="16766359" cy="537753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21771</xdr:colOff>
      <xdr:row>41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FEC194C-F3DF-4DDD-BCCE-CA1910FEF434}"/>
            </a:ext>
          </a:extLst>
        </xdr:cNvPr>
        <xdr:cNvSpPr/>
      </xdr:nvSpPr>
      <xdr:spPr>
        <a:xfrm>
          <a:off x="0" y="0"/>
          <a:ext cx="1850571" cy="78486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10051</xdr:colOff>
      <xdr:row>2</xdr:row>
      <xdr:rowOff>150446</xdr:rowOff>
    </xdr:from>
    <xdr:to>
      <xdr:col>3</xdr:col>
      <xdr:colOff>282194</xdr:colOff>
      <xdr:row>5</xdr:row>
      <xdr:rowOff>117788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74AADC-BE56-405E-92A0-9B71274E0691}"/>
            </a:ext>
          </a:extLst>
        </xdr:cNvPr>
        <xdr:cNvSpPr/>
      </xdr:nvSpPr>
      <xdr:spPr>
        <a:xfrm>
          <a:off x="10051" y="519156"/>
          <a:ext cx="2115691" cy="520406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0</xdr:colOff>
      <xdr:row>6</xdr:row>
      <xdr:rowOff>67355</xdr:rowOff>
    </xdr:from>
    <xdr:to>
      <xdr:col>3</xdr:col>
      <xdr:colOff>272143</xdr:colOff>
      <xdr:row>8</xdr:row>
      <xdr:rowOff>95932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B462D1-2414-4B8A-98F1-8DEFB7CAB195}"/>
            </a:ext>
          </a:extLst>
        </xdr:cNvPr>
        <xdr:cNvSpPr/>
      </xdr:nvSpPr>
      <xdr:spPr>
        <a:xfrm>
          <a:off x="0" y="1164635"/>
          <a:ext cx="2100943" cy="432437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February</a:t>
          </a:r>
        </a:p>
      </xdr:txBody>
    </xdr:sp>
    <xdr:clientData/>
  </xdr:twoCellAnchor>
  <xdr:twoCellAnchor>
    <xdr:from>
      <xdr:col>0</xdr:col>
      <xdr:colOff>0</xdr:colOff>
      <xdr:row>9</xdr:row>
      <xdr:rowOff>52389</xdr:rowOff>
    </xdr:from>
    <xdr:to>
      <xdr:col>3</xdr:col>
      <xdr:colOff>272143</xdr:colOff>
      <xdr:row>11</xdr:row>
      <xdr:rowOff>128589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3A697E5-6672-4B5D-9C78-909E9BD44FCA}"/>
            </a:ext>
          </a:extLst>
        </xdr:cNvPr>
        <xdr:cNvSpPr/>
      </xdr:nvSpPr>
      <xdr:spPr>
        <a:xfrm>
          <a:off x="0" y="1751649"/>
          <a:ext cx="2100943" cy="472440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March</a:t>
          </a:r>
        </a:p>
      </xdr:txBody>
    </xdr:sp>
    <xdr:clientData/>
  </xdr:twoCellAnchor>
  <xdr:twoCellAnchor>
    <xdr:from>
      <xdr:col>0</xdr:col>
      <xdr:colOff>0</xdr:colOff>
      <xdr:row>25</xdr:row>
      <xdr:rowOff>8849</xdr:rowOff>
    </xdr:from>
    <xdr:to>
      <xdr:col>3</xdr:col>
      <xdr:colOff>272143</xdr:colOff>
      <xdr:row>27</xdr:row>
      <xdr:rowOff>85048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46BBC9A-EB69-4EF1-80F1-9232FCA55656}"/>
            </a:ext>
          </a:extLst>
        </xdr:cNvPr>
        <xdr:cNvSpPr/>
      </xdr:nvSpPr>
      <xdr:spPr>
        <a:xfrm>
          <a:off x="0" y="4878029"/>
          <a:ext cx="2100943" cy="472439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August</a:t>
          </a:r>
        </a:p>
      </xdr:txBody>
    </xdr:sp>
    <xdr:clientData/>
  </xdr:twoCellAnchor>
  <xdr:twoCellAnchor>
    <xdr:from>
      <xdr:col>0</xdr:col>
      <xdr:colOff>0</xdr:colOff>
      <xdr:row>28</xdr:row>
      <xdr:rowOff>41504</xdr:rowOff>
    </xdr:from>
    <xdr:to>
      <xdr:col>3</xdr:col>
      <xdr:colOff>272143</xdr:colOff>
      <xdr:row>30</xdr:row>
      <xdr:rowOff>165329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8ED80DE-2371-49A8-80CB-A6C523B1F15E}"/>
            </a:ext>
          </a:extLst>
        </xdr:cNvPr>
        <xdr:cNvSpPr/>
      </xdr:nvSpPr>
      <xdr:spPr>
        <a:xfrm>
          <a:off x="0" y="5512664"/>
          <a:ext cx="2100943" cy="48958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September</a:t>
          </a:r>
        </a:p>
      </xdr:txBody>
    </xdr:sp>
    <xdr:clientData/>
  </xdr:twoCellAnchor>
  <xdr:twoCellAnchor>
    <xdr:from>
      <xdr:col>0</xdr:col>
      <xdr:colOff>0</xdr:colOff>
      <xdr:row>31</xdr:row>
      <xdr:rowOff>110900</xdr:rowOff>
    </xdr:from>
    <xdr:to>
      <xdr:col>3</xdr:col>
      <xdr:colOff>272143</xdr:colOff>
      <xdr:row>34</xdr:row>
      <xdr:rowOff>8506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AC03E62-6125-409D-8628-95DB4052CDF2}"/>
            </a:ext>
          </a:extLst>
        </xdr:cNvPr>
        <xdr:cNvSpPr/>
      </xdr:nvSpPr>
      <xdr:spPr>
        <a:xfrm>
          <a:off x="0" y="6130700"/>
          <a:ext cx="2100943" cy="446246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October</a:t>
          </a:r>
        </a:p>
      </xdr:txBody>
    </xdr:sp>
    <xdr:clientData/>
  </xdr:twoCellAnchor>
  <xdr:twoCellAnchor>
    <xdr:from>
      <xdr:col>0</xdr:col>
      <xdr:colOff>0</xdr:colOff>
      <xdr:row>34</xdr:row>
      <xdr:rowOff>132671</xdr:rowOff>
    </xdr:from>
    <xdr:to>
      <xdr:col>3</xdr:col>
      <xdr:colOff>272143</xdr:colOff>
      <xdr:row>37</xdr:row>
      <xdr:rowOff>23815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8885C54-ED77-4031-9C2B-F3E3F57299CD}"/>
            </a:ext>
          </a:extLst>
        </xdr:cNvPr>
        <xdr:cNvSpPr/>
      </xdr:nvSpPr>
      <xdr:spPr>
        <a:xfrm>
          <a:off x="0" y="6701111"/>
          <a:ext cx="2100943" cy="439784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November</a:t>
          </a:r>
        </a:p>
      </xdr:txBody>
    </xdr:sp>
    <xdr:clientData/>
  </xdr:twoCellAnchor>
  <xdr:twoCellAnchor>
    <xdr:from>
      <xdr:col>0</xdr:col>
      <xdr:colOff>294967</xdr:colOff>
      <xdr:row>37</xdr:row>
      <xdr:rowOff>154442</xdr:rowOff>
    </xdr:from>
    <xdr:to>
      <xdr:col>3</xdr:col>
      <xdr:colOff>567110</xdr:colOff>
      <xdr:row>40</xdr:row>
      <xdr:rowOff>45587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0F9CC09-8A65-464F-83A5-10D914B3ADBB}"/>
            </a:ext>
          </a:extLst>
        </xdr:cNvPr>
        <xdr:cNvSpPr/>
      </xdr:nvSpPr>
      <xdr:spPr>
        <a:xfrm>
          <a:off x="294967" y="7282829"/>
          <a:ext cx="2115691" cy="444210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December</a:t>
          </a:r>
        </a:p>
      </xdr:txBody>
    </xdr:sp>
    <xdr:clientData/>
  </xdr:twoCellAnchor>
  <xdr:twoCellAnchor>
    <xdr:from>
      <xdr:col>0</xdr:col>
      <xdr:colOff>0</xdr:colOff>
      <xdr:row>18</xdr:row>
      <xdr:rowOff>128590</xdr:rowOff>
    </xdr:from>
    <xdr:to>
      <xdr:col>3</xdr:col>
      <xdr:colOff>272143</xdr:colOff>
      <xdr:row>21</xdr:row>
      <xdr:rowOff>19734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5DE087D-1E79-4930-9EBB-85D611688C50}"/>
            </a:ext>
          </a:extLst>
        </xdr:cNvPr>
        <xdr:cNvSpPr/>
      </xdr:nvSpPr>
      <xdr:spPr>
        <a:xfrm>
          <a:off x="0" y="3610930"/>
          <a:ext cx="2100943" cy="485504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June</a:t>
          </a:r>
        </a:p>
      </xdr:txBody>
    </xdr:sp>
    <xdr:clientData/>
  </xdr:twoCellAnchor>
  <xdr:twoCellAnchor>
    <xdr:from>
      <xdr:col>0</xdr:col>
      <xdr:colOff>0</xdr:colOff>
      <xdr:row>15</xdr:row>
      <xdr:rowOff>95932</xdr:rowOff>
    </xdr:from>
    <xdr:to>
      <xdr:col>3</xdr:col>
      <xdr:colOff>272143</xdr:colOff>
      <xdr:row>17</xdr:row>
      <xdr:rowOff>189483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31E5E1F-D91B-4B6B-8DF7-FB28C8EF3E15}"/>
            </a:ext>
          </a:extLst>
        </xdr:cNvPr>
        <xdr:cNvSpPr/>
      </xdr:nvSpPr>
      <xdr:spPr>
        <a:xfrm>
          <a:off x="0" y="2983912"/>
          <a:ext cx="2100943" cy="489791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May</a:t>
          </a:r>
        </a:p>
      </xdr:txBody>
    </xdr:sp>
    <xdr:clientData/>
  </xdr:twoCellAnchor>
  <xdr:twoCellAnchor>
    <xdr:from>
      <xdr:col>0</xdr:col>
      <xdr:colOff>0</xdr:colOff>
      <xdr:row>12</xdr:row>
      <xdr:rowOff>74163</xdr:rowOff>
    </xdr:from>
    <xdr:to>
      <xdr:col>3</xdr:col>
      <xdr:colOff>272143</xdr:colOff>
      <xdr:row>14</xdr:row>
      <xdr:rowOff>150362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87C69FE-2F73-4A4D-A785-021BD9645E6F}"/>
            </a:ext>
          </a:extLst>
        </xdr:cNvPr>
        <xdr:cNvSpPr/>
      </xdr:nvSpPr>
      <xdr:spPr>
        <a:xfrm>
          <a:off x="0" y="2367783"/>
          <a:ext cx="2100943" cy="472439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April</a:t>
          </a:r>
        </a:p>
      </xdr:txBody>
    </xdr:sp>
    <xdr:clientData/>
  </xdr:twoCellAnchor>
  <xdr:twoCellAnchor>
    <xdr:from>
      <xdr:col>0</xdr:col>
      <xdr:colOff>0</xdr:colOff>
      <xdr:row>21</xdr:row>
      <xdr:rowOff>178596</xdr:rowOff>
    </xdr:from>
    <xdr:to>
      <xdr:col>3</xdr:col>
      <xdr:colOff>272143</xdr:colOff>
      <xdr:row>24</xdr:row>
      <xdr:rowOff>52391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6AE1B7F-9E0F-4C05-98EF-4514BD9128DE}"/>
            </a:ext>
          </a:extLst>
        </xdr:cNvPr>
        <xdr:cNvSpPr/>
      </xdr:nvSpPr>
      <xdr:spPr>
        <a:xfrm>
          <a:off x="0" y="4255296"/>
          <a:ext cx="2100943" cy="46815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July</a:t>
          </a:r>
        </a:p>
      </xdr:txBody>
    </xdr:sp>
    <xdr:clientData/>
  </xdr:twoCellAnchor>
  <xdr:twoCellAnchor>
    <xdr:from>
      <xdr:col>42</xdr:col>
      <xdr:colOff>599440</xdr:colOff>
      <xdr:row>0</xdr:row>
      <xdr:rowOff>20320</xdr:rowOff>
    </xdr:from>
    <xdr:to>
      <xdr:col>57</xdr:col>
      <xdr:colOff>0</xdr:colOff>
      <xdr:row>3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C4AFE69-B3E4-4F39-BB48-2A34BB491096}"/>
            </a:ext>
          </a:extLst>
        </xdr:cNvPr>
        <xdr:cNvSpPr/>
      </xdr:nvSpPr>
      <xdr:spPr>
        <a:xfrm>
          <a:off x="19184620" y="20320"/>
          <a:ext cx="11760200" cy="528320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3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Monthly Report</a:t>
          </a:r>
        </a:p>
      </xdr:txBody>
    </xdr:sp>
    <xdr:clientData/>
  </xdr:twoCellAnchor>
  <xdr:twoCellAnchor>
    <xdr:from>
      <xdr:col>4</xdr:col>
      <xdr:colOff>441434</xdr:colOff>
      <xdr:row>0</xdr:row>
      <xdr:rowOff>105103</xdr:rowOff>
    </xdr:from>
    <xdr:to>
      <xdr:col>5</xdr:col>
      <xdr:colOff>520262</xdr:colOff>
      <xdr:row>1</xdr:row>
      <xdr:rowOff>152400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351849D-AAA4-422D-BC4A-3271CFC4466F}"/>
            </a:ext>
          </a:extLst>
        </xdr:cNvPr>
        <xdr:cNvSpPr txBox="1"/>
      </xdr:nvSpPr>
      <xdr:spPr>
        <a:xfrm>
          <a:off x="2879834" y="105103"/>
          <a:ext cx="688428" cy="23017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5</xdr:col>
      <xdr:colOff>525518</xdr:colOff>
      <xdr:row>0</xdr:row>
      <xdr:rowOff>105102</xdr:rowOff>
    </xdr:from>
    <xdr:to>
      <xdr:col>7</xdr:col>
      <xdr:colOff>178676</xdr:colOff>
      <xdr:row>1</xdr:row>
      <xdr:rowOff>147144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C2D03401-FAF8-41C8-8684-5B40FF38786E}"/>
            </a:ext>
          </a:extLst>
        </xdr:cNvPr>
        <xdr:cNvSpPr txBox="1"/>
      </xdr:nvSpPr>
      <xdr:spPr>
        <a:xfrm>
          <a:off x="3573518" y="105102"/>
          <a:ext cx="925698" cy="2249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48BF154-D853-4C06-8A77-CF8B6B6C4045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01-Dec-2025</a:t>
          </a:fld>
          <a:endParaRPr lang="en-IN" sz="1100" b="1"/>
        </a:p>
      </xdr:txBody>
    </xdr:sp>
    <xdr:clientData/>
  </xdr:twoCellAnchor>
  <xdr:twoCellAnchor>
    <xdr:from>
      <xdr:col>7</xdr:col>
      <xdr:colOff>289034</xdr:colOff>
      <xdr:row>0</xdr:row>
      <xdr:rowOff>105102</xdr:rowOff>
    </xdr:from>
    <xdr:to>
      <xdr:col>7</xdr:col>
      <xdr:colOff>977462</xdr:colOff>
      <xdr:row>1</xdr:row>
      <xdr:rowOff>152400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05B7892-9A4A-4C88-933E-7C25AB9B4FA8}"/>
            </a:ext>
          </a:extLst>
        </xdr:cNvPr>
        <xdr:cNvSpPr txBox="1"/>
      </xdr:nvSpPr>
      <xdr:spPr>
        <a:xfrm>
          <a:off x="4609574" y="105102"/>
          <a:ext cx="688428" cy="23017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982718</xdr:colOff>
      <xdr:row>0</xdr:row>
      <xdr:rowOff>105102</xdr:rowOff>
    </xdr:from>
    <xdr:to>
      <xdr:col>8</xdr:col>
      <xdr:colOff>888125</xdr:colOff>
      <xdr:row>1</xdr:row>
      <xdr:rowOff>152400</xdr:rowOff>
    </xdr:to>
    <xdr:sp macro="" textlink="$H$6">
      <xdr:nvSpPr>
        <xdr:cNvPr id="20" name="TextBox 19">
          <a:extLst>
            <a:ext uri="{FF2B5EF4-FFF2-40B4-BE49-F238E27FC236}">
              <a16:creationId xmlns:a16="http://schemas.microsoft.com/office/drawing/2014/main" id="{247450BA-16A0-4D53-941F-A768E190F283}"/>
            </a:ext>
          </a:extLst>
        </xdr:cNvPr>
        <xdr:cNvSpPr txBox="1"/>
      </xdr:nvSpPr>
      <xdr:spPr>
        <a:xfrm>
          <a:off x="5303258" y="105102"/>
          <a:ext cx="926487" cy="2301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C149F28-0450-43B5-AA89-70F407C47701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31-Dec-2025</a:t>
          </a:fld>
          <a:endParaRPr lang="en-IN" sz="1100" b="1"/>
        </a:p>
      </xdr:txBody>
    </xdr:sp>
    <xdr:clientData/>
  </xdr:twoCellAnchor>
  <xdr:twoCellAnchor>
    <xdr:from>
      <xdr:col>8</xdr:col>
      <xdr:colOff>1381124</xdr:colOff>
      <xdr:row>0</xdr:row>
      <xdr:rowOff>76199</xdr:rowOff>
    </xdr:from>
    <xdr:to>
      <xdr:col>23</xdr:col>
      <xdr:colOff>99060</xdr:colOff>
      <xdr:row>2</xdr:row>
      <xdr:rowOff>83342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1F16A5E-CE9A-4BA4-AFB5-2FF063BDC0CC}"/>
            </a:ext>
          </a:extLst>
        </xdr:cNvPr>
        <xdr:cNvSpPr txBox="1"/>
      </xdr:nvSpPr>
      <xdr:spPr>
        <a:xfrm>
          <a:off x="6722744" y="76199"/>
          <a:ext cx="5225416" cy="372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655007</xdr:colOff>
      <xdr:row>0</xdr:row>
      <xdr:rowOff>105268</xdr:rowOff>
    </xdr:from>
    <xdr:to>
      <xdr:col>18</xdr:col>
      <xdr:colOff>140084</xdr:colOff>
      <xdr:row>2</xdr:row>
      <xdr:rowOff>52879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ADA42D6-E176-4927-A764-738DF55C43F7}"/>
            </a:ext>
          </a:extLst>
        </xdr:cNvPr>
        <xdr:cNvSpPr txBox="1"/>
      </xdr:nvSpPr>
      <xdr:spPr>
        <a:xfrm>
          <a:off x="7383467" y="105268"/>
          <a:ext cx="2959797" cy="3133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>
              <a:latin typeface="Times New Roman" panose="02020603050405020304" pitchFamily="18" charset="0"/>
              <a:cs typeface="Times New Roman" panose="02020603050405020304" pitchFamily="18" charset="0"/>
            </a:rPr>
            <a:t>Dashboard For</a:t>
          </a:r>
          <a:r>
            <a:rPr lang="en-IN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 the Month of</a:t>
          </a:r>
          <a:r>
            <a:rPr lang="en-IN" sz="18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 editAs="oneCell">
    <xdr:from>
      <xdr:col>9</xdr:col>
      <xdr:colOff>95805</xdr:colOff>
      <xdr:row>0</xdr:row>
      <xdr:rowOff>69126</xdr:rowOff>
    </xdr:from>
    <xdr:to>
      <xdr:col>9</xdr:col>
      <xdr:colOff>483475</xdr:colOff>
      <xdr:row>2</xdr:row>
      <xdr:rowOff>81857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A58AAFD7-82A6-435C-B9A4-F0E738E2B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824265" y="69126"/>
          <a:ext cx="387670" cy="378491"/>
        </a:xfrm>
        <a:prstGeom prst="rect">
          <a:avLst/>
        </a:prstGeom>
      </xdr:spPr>
    </xdr:pic>
    <xdr:clientData/>
  </xdr:twoCellAnchor>
  <xdr:twoCellAnchor>
    <xdr:from>
      <xdr:col>18</xdr:col>
      <xdr:colOff>205740</xdr:colOff>
      <xdr:row>0</xdr:row>
      <xdr:rowOff>136634</xdr:rowOff>
    </xdr:from>
    <xdr:to>
      <xdr:col>23</xdr:col>
      <xdr:colOff>30479</xdr:colOff>
      <xdr:row>2</xdr:row>
      <xdr:rowOff>21020</xdr:rowOff>
    </xdr:to>
    <xdr:sp macro="" textlink="$I$5">
      <xdr:nvSpPr>
        <xdr:cNvPr id="24" name="TextBox 23">
          <a:extLst>
            <a:ext uri="{FF2B5EF4-FFF2-40B4-BE49-F238E27FC236}">
              <a16:creationId xmlns:a16="http://schemas.microsoft.com/office/drawing/2014/main" id="{1F86948C-BB70-4980-95FE-52C1C13CCF1D}"/>
            </a:ext>
          </a:extLst>
        </xdr:cNvPr>
        <xdr:cNvSpPr txBox="1"/>
      </xdr:nvSpPr>
      <xdr:spPr>
        <a:xfrm>
          <a:off x="10408920" y="136634"/>
          <a:ext cx="1470659" cy="25014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0CE7C42-3221-4D91-B0E5-69AF3A2979D1}" type="TxLink">
            <a:rPr lang="en-US" sz="1800" b="1" i="0" u="none" strike="noStrike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December</a:t>
          </a:fld>
          <a:endParaRPr lang="en-IN" sz="18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332400</xdr:colOff>
      <xdr:row>0</xdr:row>
      <xdr:rowOff>100435</xdr:rowOff>
    </xdr:from>
    <xdr:to>
      <xdr:col>25</xdr:col>
      <xdr:colOff>309626</xdr:colOff>
      <xdr:row>2</xdr:row>
      <xdr:rowOff>20878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A6CBB30-3C3C-4D04-80FA-4020A3886ACD}"/>
            </a:ext>
          </a:extLst>
        </xdr:cNvPr>
        <xdr:cNvSpPr txBox="1"/>
      </xdr:nvSpPr>
      <xdr:spPr>
        <a:xfrm>
          <a:off x="12524400" y="100435"/>
          <a:ext cx="373466" cy="2862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🟢</a:t>
          </a:r>
          <a:endParaRPr lang="en-IN" sz="1100"/>
        </a:p>
      </xdr:txBody>
    </xdr:sp>
    <xdr:clientData/>
  </xdr:twoCellAnchor>
  <xdr:twoCellAnchor>
    <xdr:from>
      <xdr:col>25</xdr:col>
      <xdr:colOff>178676</xdr:colOff>
      <xdr:row>0</xdr:row>
      <xdr:rowOff>94593</xdr:rowOff>
    </xdr:from>
    <xdr:to>
      <xdr:col>28</xdr:col>
      <xdr:colOff>89338</xdr:colOff>
      <xdr:row>2</xdr:row>
      <xdr:rowOff>10510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F6A7D8D-96B0-41FD-95D5-BD54BF99A612}"/>
            </a:ext>
          </a:extLst>
        </xdr:cNvPr>
        <xdr:cNvSpPr txBox="1"/>
      </xdr:nvSpPr>
      <xdr:spPr>
        <a:xfrm>
          <a:off x="12766916" y="94593"/>
          <a:ext cx="825062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Present</a:t>
          </a:r>
        </a:p>
      </xdr:txBody>
    </xdr:sp>
    <xdr:clientData/>
  </xdr:twoCellAnchor>
  <xdr:twoCellAnchor>
    <xdr:from>
      <xdr:col>29</xdr:col>
      <xdr:colOff>7901</xdr:colOff>
      <xdr:row>0</xdr:row>
      <xdr:rowOff>66223</xdr:rowOff>
    </xdr:from>
    <xdr:to>
      <xdr:col>30</xdr:col>
      <xdr:colOff>72571</xdr:colOff>
      <xdr:row>2</xdr:row>
      <xdr:rowOff>67388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34B311D-C400-48E0-99BF-68494EDCDA6D}"/>
            </a:ext>
          </a:extLst>
        </xdr:cNvPr>
        <xdr:cNvSpPr txBox="1"/>
      </xdr:nvSpPr>
      <xdr:spPr>
        <a:xfrm>
          <a:off x="13868681" y="66223"/>
          <a:ext cx="438050" cy="366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aseline="0"/>
            <a:t>🔴</a:t>
          </a:r>
          <a:endParaRPr lang="en-IN" sz="1200"/>
        </a:p>
      </xdr:txBody>
    </xdr:sp>
    <xdr:clientData/>
  </xdr:twoCellAnchor>
  <xdr:twoCellAnchor>
    <xdr:from>
      <xdr:col>29</xdr:col>
      <xdr:colOff>297936</xdr:colOff>
      <xdr:row>0</xdr:row>
      <xdr:rowOff>99777</xdr:rowOff>
    </xdr:from>
    <xdr:to>
      <xdr:col>32</xdr:col>
      <xdr:colOff>11618</xdr:colOff>
      <xdr:row>2</xdr:row>
      <xdr:rowOff>15694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FF3E8C1-9AA8-42CA-BC5B-BEDFAB5279F6}"/>
            </a:ext>
          </a:extLst>
        </xdr:cNvPr>
        <xdr:cNvSpPr txBox="1"/>
      </xdr:nvSpPr>
      <xdr:spPr>
        <a:xfrm>
          <a:off x="14158716" y="99777"/>
          <a:ext cx="826202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Absent</a:t>
          </a:r>
        </a:p>
      </xdr:txBody>
    </xdr:sp>
    <xdr:clientData/>
  </xdr:twoCellAnchor>
  <xdr:twoCellAnchor>
    <xdr:from>
      <xdr:col>32</xdr:col>
      <xdr:colOff>315812</xdr:colOff>
      <xdr:row>0</xdr:row>
      <xdr:rowOff>83848</xdr:rowOff>
    </xdr:from>
    <xdr:to>
      <xdr:col>34</xdr:col>
      <xdr:colOff>136849</xdr:colOff>
      <xdr:row>2</xdr:row>
      <xdr:rowOff>85013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E1A042E-3B6C-484B-9C51-EDBD18B4D83D}"/>
            </a:ext>
          </a:extLst>
        </xdr:cNvPr>
        <xdr:cNvSpPr txBox="1"/>
      </xdr:nvSpPr>
      <xdr:spPr>
        <a:xfrm>
          <a:off x="15289112" y="83848"/>
          <a:ext cx="438257" cy="366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/>
            <a:t>🟡</a:t>
          </a:r>
          <a:endParaRPr lang="en-IN" sz="1200"/>
        </a:p>
      </xdr:txBody>
    </xdr:sp>
    <xdr:clientData/>
  </xdr:twoCellAnchor>
  <xdr:twoCellAnchor>
    <xdr:from>
      <xdr:col>33</xdr:col>
      <xdr:colOff>175602</xdr:colOff>
      <xdr:row>0</xdr:row>
      <xdr:rowOff>117402</xdr:rowOff>
    </xdr:from>
    <xdr:to>
      <xdr:col>36</xdr:col>
      <xdr:colOff>86263</xdr:colOff>
      <xdr:row>2</xdr:row>
      <xdr:rowOff>33319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3534B0C-1A40-40E0-B66F-23109A49B9BA}"/>
            </a:ext>
          </a:extLst>
        </xdr:cNvPr>
        <xdr:cNvSpPr txBox="1"/>
      </xdr:nvSpPr>
      <xdr:spPr>
        <a:xfrm>
          <a:off x="15507042" y="117402"/>
          <a:ext cx="825061" cy="281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Leave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18C0F-7587-44DD-B64E-1F9969D15F0C}" name="Jan_Table" displayName="Jan_Table" ref="AR8:BE28" totalsRowShown="0" headerRowDxfId="169" tableBorderDxfId="168">
  <autoFilter ref="AR8:BE28" xr:uid="{5ED18C0F-7587-44DD-B64E-1F9969D15F0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7877DF61-2837-442D-B7C9-B68EE90CD3E3}" name="S.no" dataDxfId="167"/>
    <tableColumn id="2" xr3:uid="{875E7FB4-2EA9-472C-B704-314D0BDB26E1}" name="Employee ID" dataDxfId="166"/>
    <tableColumn id="3" xr3:uid="{4CBF5068-8400-415E-8B2F-01E4446EEB05}" name="Month" dataDxfId="165">
      <calculatedColumnFormula>$I$5</calculatedColumnFormula>
    </tableColumn>
    <tableColumn id="4" xr3:uid="{2ED657B7-7D2F-4227-AB84-5D76B05AAA86}" name="Employee Name" dataDxfId="164"/>
    <tableColumn id="5" xr3:uid="{73A895E5-8B2E-4033-9936-EF77BBBAA56E}" name="Present" dataDxfId="163">
      <calculatedColumnFormula>COUNTIF($K9:$AO9,"*P*")</calculatedColumnFormula>
    </tableColumn>
    <tableColumn id="6" xr3:uid="{9AA80BF4-971D-486C-8B88-B8D2FF63C250}" name="Absent " dataDxfId="162">
      <calculatedColumnFormula>COUNTIF($K9:$AO9,"*A*")</calculatedColumnFormula>
    </tableColumn>
    <tableColumn id="7" xr3:uid="{645F99E7-E729-4979-9E27-1CE7A1C610ED}" name="Leave">
      <calculatedColumnFormula>COUNTIF($K9:$AO9,"L")</calculatedColumnFormula>
    </tableColumn>
    <tableColumn id="8" xr3:uid="{3DDC3234-8738-477F-9E73-04FB7C60AF44}" name="Weekoff">
      <calculatedColumnFormula>$J$9</calculatedColumnFormula>
    </tableColumn>
    <tableColumn id="9" xr3:uid="{CE6A5D16-8813-430E-A987-48B2D66661F0}" name="Days">
      <calculatedColumnFormula>$I$4</calculatedColumnFormula>
    </tableColumn>
    <tableColumn id="10" xr3:uid="{F4F81CFD-E3C3-444D-AAC7-79B06C9317C6}" name="Paid Days">
      <calculatedColumnFormula>AZ9-AW9</calculatedColumnFormula>
    </tableColumn>
    <tableColumn id="11" xr3:uid="{4A679CBB-02CC-4A9A-9662-6C776AA901C2}" name="Salary" dataDxfId="161"/>
    <tableColumn id="12" xr3:uid="{0CC25A3C-C0BB-4011-A4BB-6C5799D94845}" name="Per day Salary" dataDxfId="160">
      <calculatedColumnFormula>BB9/AZ9</calculatedColumnFormula>
    </tableColumn>
    <tableColumn id="13" xr3:uid="{41045FFB-E873-4E6B-90FF-3B1BE864544A}" name="Deduction" dataDxfId="159">
      <calculatedColumnFormula>BC9*AW9</calculatedColumnFormula>
    </tableColumn>
    <tableColumn id="14" xr3:uid="{0AF36ACA-A4B5-49AD-A490-2BB305844C94}" name="Total Salary" dataDxfId="158">
      <calculatedColumnFormula>BB9-BD9</calculatedColumnFormula>
    </tableColumn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673465-7E53-4E50-95AD-0C5FBFE0931B}" name="Feb_table" displayName="Feb_table" ref="AR8:BE28" totalsRowShown="0" headerRowDxfId="157" tableBorderDxfId="156">
  <autoFilter ref="AR8:BE28" xr:uid="{73673465-7E53-4E50-95AD-0C5FBFE0931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4F5D8DE1-4C76-4C85-9A9B-069B3900C0F4}" name="S.no" dataDxfId="155"/>
    <tableColumn id="2" xr3:uid="{3366B021-CB75-4B11-84F6-A63507645FA7}" name="Employee ID" dataDxfId="154"/>
    <tableColumn id="3" xr3:uid="{C2964639-46CD-4ABD-87C6-9D198E48BB89}" name="Month" dataDxfId="153">
      <calculatedColumnFormula>$I$5</calculatedColumnFormula>
    </tableColumn>
    <tableColumn id="4" xr3:uid="{03E71EAD-9F47-4417-A952-8A781045EB11}" name="Employee Name" dataDxfId="152"/>
    <tableColumn id="5" xr3:uid="{37C258E2-5044-4A41-9285-E682BCEE0460}" name="Present">
      <calculatedColumnFormula>COUNTIF($K9:$AO9,"P")</calculatedColumnFormula>
    </tableColumn>
    <tableColumn id="6" xr3:uid="{DB86C0A3-83D1-4223-9980-8564D43514B6}" name="Absent ">
      <calculatedColumnFormula>COUNTIF($K9:$AO9,"A")</calculatedColumnFormula>
    </tableColumn>
    <tableColumn id="7" xr3:uid="{42F7F471-16F0-4B6D-A1E6-903C9BFE6DEB}" name="Leave">
      <calculatedColumnFormula>COUNTIF($K9:$AO9,"L")</calculatedColumnFormula>
    </tableColumn>
    <tableColumn id="8" xr3:uid="{C22D8EA2-A215-4324-94CA-3164FA242D30}" name="Weekoff">
      <calculatedColumnFormula>$J$9</calculatedColumnFormula>
    </tableColumn>
    <tableColumn id="9" xr3:uid="{0EC24C95-E691-45B1-AA98-A3369ABBDA35}" name="Days">
      <calculatedColumnFormula>$I$4</calculatedColumnFormula>
    </tableColumn>
    <tableColumn id="10" xr3:uid="{3FF223A0-F982-400C-B116-446B28CC8312}" name="Paid Days">
      <calculatedColumnFormula>AZ9-AW9</calculatedColumnFormula>
    </tableColumn>
    <tableColumn id="11" xr3:uid="{6D008BF8-E2C7-4899-BFDF-64F7537516A3}" name="Salary" dataDxfId="151"/>
    <tableColumn id="12" xr3:uid="{35358615-175B-4C41-AF28-A9D6418C73D6}" name="Per day Salary" dataDxfId="150">
      <calculatedColumnFormula>BB9/AZ9</calculatedColumnFormula>
    </tableColumn>
    <tableColumn id="13" xr3:uid="{DB05EE1D-D800-48DF-8E64-0862E9B7D1D4}" name="Deduction" dataDxfId="149">
      <calculatedColumnFormula>BC9*AW9</calculatedColumnFormula>
    </tableColumn>
    <tableColumn id="14" xr3:uid="{9E91DEE2-9A1F-4C66-921A-684BFE890EB6}" name="Total Salary" dataDxfId="148">
      <calculatedColumnFormula>BB9-BD9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D95598-9094-46DF-956A-BEADFD0216F7}" name="Mar_table" displayName="Mar_table" ref="AR8:BE28" totalsRowShown="0" headerRowDxfId="147" tableBorderDxfId="146">
  <autoFilter ref="AR8:BE28" xr:uid="{55D95598-9094-46DF-956A-BEADFD0216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914C61ED-5E0C-4949-B5CC-14B9EA4ECFAF}" name="S.no" dataDxfId="145"/>
    <tableColumn id="2" xr3:uid="{69B73751-67F1-4015-BA9E-A836422DF3C3}" name="Employee ID" dataDxfId="144"/>
    <tableColumn id="3" xr3:uid="{1007FF96-E2D9-444B-A67D-C9F5D8EB4C3C}" name="Month" dataDxfId="143">
      <calculatedColumnFormula>$I$5</calculatedColumnFormula>
    </tableColumn>
    <tableColumn id="4" xr3:uid="{3E24A536-AE2D-4A35-997B-4E91FE48DBD2}" name="Employee Name" dataDxfId="142"/>
    <tableColumn id="5" xr3:uid="{9A52D55B-1F8E-4643-8170-EC311E79A031}" name="Present">
      <calculatedColumnFormula>COUNTIF($K9:$AO9,"P")</calculatedColumnFormula>
    </tableColumn>
    <tableColumn id="6" xr3:uid="{78007827-CB0A-4410-A983-B7324D52729A}" name="Absent ">
      <calculatedColumnFormula>COUNTIF($K9:$AO9,"A")</calculatedColumnFormula>
    </tableColumn>
    <tableColumn id="7" xr3:uid="{8ACA0298-013D-43AB-96DF-97FEB74B9F0A}" name="Leave">
      <calculatedColumnFormula>COUNTIF($K9:$AO9,"L")</calculatedColumnFormula>
    </tableColumn>
    <tableColumn id="8" xr3:uid="{A8D867FA-84B8-4CD2-8274-365FCFC52C31}" name="Weekoff">
      <calculatedColumnFormula>$J$9</calculatedColumnFormula>
    </tableColumn>
    <tableColumn id="9" xr3:uid="{FC09F812-CC3C-4E1C-BCA3-8B1BD8B72EA8}" name="Days">
      <calculatedColumnFormula>$I$4</calculatedColumnFormula>
    </tableColumn>
    <tableColumn id="10" xr3:uid="{9DBC6B5B-BC18-4FB2-80CA-0EA74AA51625}" name="Paid Days">
      <calculatedColumnFormula>AZ9-AW9</calculatedColumnFormula>
    </tableColumn>
    <tableColumn id="11" xr3:uid="{8D08E855-FED2-42EB-9903-06EAF1C1CF7E}" name="Salary" dataDxfId="141"/>
    <tableColumn id="12" xr3:uid="{97840F2B-D4E1-41D1-B982-D7332D2CA576}" name="Per day Salary" dataDxfId="140">
      <calculatedColumnFormula>BB9/AZ9</calculatedColumnFormula>
    </tableColumn>
    <tableColumn id="13" xr3:uid="{7F6F193C-2CF0-43F5-94CD-3D45E05000FA}" name="Deduction" dataDxfId="139">
      <calculatedColumnFormula>BC9*AW9</calculatedColumnFormula>
    </tableColumn>
    <tableColumn id="14" xr3:uid="{68915E5C-FA64-44EA-8AB8-4BA573565AE0}" name="Total Salary" dataDxfId="138">
      <calculatedColumnFormula>BB9-BD9</calculatedColumn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48F3E1-9B03-4F5B-B84E-D4D1E4EA497B}" name="Apr_table" displayName="Apr_table" ref="AR8:BE28" totalsRowShown="0" headerRowDxfId="137" tableBorderDxfId="136">
  <autoFilter ref="AR8:BE28" xr:uid="{0848F3E1-9B03-4F5B-B84E-D4D1E4EA497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EF500848-33F1-4244-9BB9-E7621C2FC944}" name="S.no" dataDxfId="135"/>
    <tableColumn id="2" xr3:uid="{EB8F59D4-7072-4A9F-B171-990B19496419}" name="Employee ID" dataDxfId="134"/>
    <tableColumn id="3" xr3:uid="{4E4FE735-776D-4978-AD97-B3C16BCDB90F}" name="Month" dataDxfId="133">
      <calculatedColumnFormula>$I$5</calculatedColumnFormula>
    </tableColumn>
    <tableColumn id="4" xr3:uid="{5E14A7C6-0FF6-49AC-8EF9-E01825946355}" name="Employee Name" dataDxfId="132"/>
    <tableColumn id="5" xr3:uid="{051AF468-D34D-447F-B1DE-A05834F5CD88}" name="Present">
      <calculatedColumnFormula>COUNTIF($K9:$AO9,"P")</calculatedColumnFormula>
    </tableColumn>
    <tableColumn id="6" xr3:uid="{71A84209-EED8-4F93-B92C-7B7E8EAD6F79}" name="Absent ">
      <calculatedColumnFormula>COUNTIF($K9:$AO9,"A")</calculatedColumnFormula>
    </tableColumn>
    <tableColumn id="7" xr3:uid="{4A3E409A-829D-456A-827D-834C9FA3FFA8}" name="Leave">
      <calculatedColumnFormula>COUNTIF($K9:$AO9,"L")</calculatedColumnFormula>
    </tableColumn>
    <tableColumn id="8" xr3:uid="{8DEE72CD-3B2B-482D-BF7C-9F1098725D93}" name="Weekoff">
      <calculatedColumnFormula>$J$9</calculatedColumnFormula>
    </tableColumn>
    <tableColumn id="9" xr3:uid="{72B16418-5594-4215-9218-58FE08650D36}" name="Days">
      <calculatedColumnFormula>$I$4</calculatedColumnFormula>
    </tableColumn>
    <tableColumn id="10" xr3:uid="{D50FB123-085D-4F77-A980-22C5AB30FBE0}" name="Paid Days">
      <calculatedColumnFormula>AZ9-AW9</calculatedColumnFormula>
    </tableColumn>
    <tableColumn id="11" xr3:uid="{01E36B3E-56BD-4D6E-8062-E6BAE0BC23B1}" name="Salary" dataDxfId="131"/>
    <tableColumn id="12" xr3:uid="{CB7945B2-BDD8-4BAD-929B-C3B4517423F1}" name="Per day Salary" dataDxfId="130">
      <calculatedColumnFormula>BB9/AZ9</calculatedColumnFormula>
    </tableColumn>
    <tableColumn id="13" xr3:uid="{B4AC7AF5-55CE-4883-BEE1-978D6561E4F1}" name="Deduction" dataDxfId="129">
      <calculatedColumnFormula>BC9*AW9</calculatedColumnFormula>
    </tableColumn>
    <tableColumn id="14" xr3:uid="{894B579A-0C49-402D-8860-51F3ACD9920D}" name="Total Salary" dataDxfId="128">
      <calculatedColumnFormula>BB9-BD9</calculatedColumnFormula>
    </tableColumn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2487BAD-7E7D-442D-ADCC-8C0E330E4ED5}" name="May_table" displayName="May_table" ref="AR8:BE28" totalsRowShown="0" headerRowDxfId="127" tableBorderDxfId="126">
  <autoFilter ref="AR8:BE28" xr:uid="{22487BAD-7E7D-442D-ADCC-8C0E330E4ED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B3E15B2C-E59D-4D40-A627-64B6D727FA14}" name="S.no" dataDxfId="125"/>
    <tableColumn id="2" xr3:uid="{F26A6BA8-553D-4451-BACB-B5090296A681}" name="Employee ID" dataDxfId="124"/>
    <tableColumn id="3" xr3:uid="{97DFDCBA-EBEF-47AE-AAE1-219ECA693880}" name="Month" dataDxfId="123">
      <calculatedColumnFormula>$I$5</calculatedColumnFormula>
    </tableColumn>
    <tableColumn id="4" xr3:uid="{7C5AACAC-8782-4518-9EB4-C33B78817F15}" name="Employee Name" dataDxfId="122"/>
    <tableColumn id="5" xr3:uid="{0BD19A9D-3093-4849-B040-6180D9D3481E}" name="Present">
      <calculatedColumnFormula>COUNTIF($K9:$AO9,"P")</calculatedColumnFormula>
    </tableColumn>
    <tableColumn id="6" xr3:uid="{77BCA6F3-70F2-41A8-91BC-2328CCAD9B55}" name="Absent ">
      <calculatedColumnFormula>COUNTIF($K9:$AO9,"A")</calculatedColumnFormula>
    </tableColumn>
    <tableColumn id="7" xr3:uid="{0667C65A-C67E-4CD0-9FA1-5720A036747A}" name="Leave">
      <calculatedColumnFormula>COUNTIF($K9:$AO9,"L")</calculatedColumnFormula>
    </tableColumn>
    <tableColumn id="8" xr3:uid="{57A8F0C8-428C-4FDD-8575-AB75418DE738}" name="Weekoff">
      <calculatedColumnFormula>$J$9</calculatedColumnFormula>
    </tableColumn>
    <tableColumn id="9" xr3:uid="{8AC37895-CE96-41BB-9700-5190F08E0EC0}" name="Days">
      <calculatedColumnFormula>$I$4</calculatedColumnFormula>
    </tableColumn>
    <tableColumn id="10" xr3:uid="{6F65A427-C4B4-4437-B17C-FDF00A18D42D}" name="Paid Days">
      <calculatedColumnFormula>AZ9-AW9</calculatedColumnFormula>
    </tableColumn>
    <tableColumn id="11" xr3:uid="{6AD569C7-6CCD-44D3-B8CC-557FADB92B95}" name="Salary" dataDxfId="121"/>
    <tableColumn id="12" xr3:uid="{10D62FA6-B626-4A92-986C-9ECED976D185}" name="Per day Salary" dataDxfId="120">
      <calculatedColumnFormula>BB9/AZ9</calculatedColumnFormula>
    </tableColumn>
    <tableColumn id="13" xr3:uid="{1B7B8EA7-891A-4A21-87DF-8A638A569444}" name="Deduction" dataDxfId="119">
      <calculatedColumnFormula>BC9*AW9</calculatedColumnFormula>
    </tableColumn>
    <tableColumn id="14" xr3:uid="{C79A4C7A-327E-4B4C-A0D1-B4503E7CF102}" name="Total Salary" dataDxfId="118">
      <calculatedColumnFormula>BB9-BD9</calculatedColumnFormula>
    </tableColumn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0A3BB5-27AF-49A7-BF69-188F38673109}" name="Jun_Table" displayName="Jun_Table" ref="AR8:BE28" totalsRowShown="0" headerRowDxfId="117" tableBorderDxfId="116">
  <autoFilter ref="AR8:BE28" xr:uid="{620A3BB5-27AF-49A7-BF69-188F386731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B47B0E60-AC29-44FB-B442-DE1D58CA7177}" name="S.no" dataDxfId="115"/>
    <tableColumn id="2" xr3:uid="{3D4C1E58-B792-49DC-91D2-CA9166E365B6}" name="Employee ID" dataDxfId="114"/>
    <tableColumn id="3" xr3:uid="{B82583B9-91E8-44B2-AF4D-9CB69F802D0F}" name="Month" dataDxfId="113">
      <calculatedColumnFormula>$I$5</calculatedColumnFormula>
    </tableColumn>
    <tableColumn id="4" xr3:uid="{45BA0460-8968-41BC-843D-B99A508DC250}" name="Employee Name" dataDxfId="112"/>
    <tableColumn id="5" xr3:uid="{AD4258BA-B787-4D74-A7AF-7D3643F19927}" name="Present">
      <calculatedColumnFormula>COUNTIF($K9:$AO9,"P")</calculatedColumnFormula>
    </tableColumn>
    <tableColumn id="6" xr3:uid="{7C3A7E5E-4755-4344-9E47-96DFDF4D3000}" name="Absent ">
      <calculatedColumnFormula>COUNTIF($K9:$AO9,"A")</calculatedColumnFormula>
    </tableColumn>
    <tableColumn id="7" xr3:uid="{E0CC7123-A78A-4DF6-BF8D-04BFC498AFD4}" name="Leave">
      <calculatedColumnFormula>COUNTIF($K9:$AO9,"L")</calculatedColumnFormula>
    </tableColumn>
    <tableColumn id="8" xr3:uid="{7DBF60A4-5AB4-4142-B8C5-5BA5B9205974}" name="Weekoff">
      <calculatedColumnFormula>$J$9</calculatedColumnFormula>
    </tableColumn>
    <tableColumn id="9" xr3:uid="{6E9D22B4-83E5-4822-8D6D-14AEC5A47DF9}" name="Days">
      <calculatedColumnFormula>$I$4</calculatedColumnFormula>
    </tableColumn>
    <tableColumn id="10" xr3:uid="{95CB63B9-24CD-4157-82EF-8DD3A374A483}" name="Paid Days">
      <calculatedColumnFormula>AZ9-AW9</calculatedColumnFormula>
    </tableColumn>
    <tableColumn id="11" xr3:uid="{1C87F57F-F7EA-4366-840A-30BB473CF2AB}" name="Salary" dataDxfId="111"/>
    <tableColumn id="12" xr3:uid="{D80CA47A-30B6-4A70-84CD-A3CEAB853B2F}" name="Per day Salary" dataDxfId="110">
      <calculatedColumnFormula>BB9/AZ9</calculatedColumnFormula>
    </tableColumn>
    <tableColumn id="13" xr3:uid="{7E1168AD-4211-43BD-A55F-57694144B38C}" name="Deduction" dataDxfId="109">
      <calculatedColumnFormula>BC9*AW9</calculatedColumnFormula>
    </tableColumn>
    <tableColumn id="14" xr3:uid="{843890A7-F192-4594-A6A8-C47D9A412261}" name="Total Salary" dataDxfId="108">
      <calculatedColumnFormula>BB9-BD9</calculatedColumnFormula>
    </tableColumn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34DED43-4EE7-42EC-97CA-3702E3ED5B0B}" name="Jul_Table" displayName="Jul_Table" ref="AR8:BE28" totalsRowShown="0" headerRowDxfId="107" tableBorderDxfId="106">
  <autoFilter ref="AR8:BE28" xr:uid="{234DED43-4EE7-42EC-97CA-3702E3ED5B0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68EDFD95-37FA-48CE-B0B0-4FE12DDD77DA}" name="S.no" dataDxfId="105"/>
    <tableColumn id="2" xr3:uid="{1CBB0541-0161-41F0-99AF-F1E6ECA9E8CF}" name="Employee ID" dataDxfId="104"/>
    <tableColumn id="3" xr3:uid="{1EE33C73-64A7-4012-AC55-D4535434CBC7}" name="Month" dataDxfId="103">
      <calculatedColumnFormula>$I$5</calculatedColumnFormula>
    </tableColumn>
    <tableColumn id="4" xr3:uid="{E07D071C-D2FD-41A2-94EA-2A3EEF0AC2CC}" name="Employee Name" dataDxfId="102"/>
    <tableColumn id="5" xr3:uid="{93EEBE17-6824-4687-977C-72789F30CF6E}" name="Present">
      <calculatedColumnFormula>COUNTIF($K9:$AO9,"P")</calculatedColumnFormula>
    </tableColumn>
    <tableColumn id="6" xr3:uid="{2AB66C2F-97E5-4CF3-A8DA-8EA6E607E195}" name="Absent ">
      <calculatedColumnFormula>COUNTIF($K9:$AO9,"A")</calculatedColumnFormula>
    </tableColumn>
    <tableColumn id="7" xr3:uid="{79607203-F9E7-47D9-97B8-661B8E9E312B}" name="Leave">
      <calculatedColumnFormula>COUNTIF($K9:$AO9,"L")</calculatedColumnFormula>
    </tableColumn>
    <tableColumn id="8" xr3:uid="{BC107245-64AB-4C5B-9183-8767C86921C4}" name="Weekoff">
      <calculatedColumnFormula>$J$9</calculatedColumnFormula>
    </tableColumn>
    <tableColumn id="9" xr3:uid="{12CC4465-0DE6-4B9F-A2CE-5EB325F927E4}" name="Days">
      <calculatedColumnFormula>$I$4</calculatedColumnFormula>
    </tableColumn>
    <tableColumn id="10" xr3:uid="{3F5B0983-F959-479C-89CF-AD9A8ACA0E60}" name="Paid Days">
      <calculatedColumnFormula>AZ9-AW9</calculatedColumnFormula>
    </tableColumn>
    <tableColumn id="11" xr3:uid="{E79351F5-4247-48DE-984E-A73ACA9142D1}" name="Salary" dataDxfId="101"/>
    <tableColumn id="12" xr3:uid="{33CAE5A5-21FD-4265-97E3-151A7F64D8A6}" name="Per day Salary" dataDxfId="100">
      <calculatedColumnFormula>BB9/AZ9</calculatedColumnFormula>
    </tableColumn>
    <tableColumn id="13" xr3:uid="{8D34622C-0B7E-4B10-8423-10BE795BE781}" name="Deduction" dataDxfId="99">
      <calculatedColumnFormula>BC9*AW9</calculatedColumnFormula>
    </tableColumn>
    <tableColumn id="14" xr3:uid="{CAB2039A-75F4-4F8C-A4E6-10BD5AFEFB3C}" name="Total Salary" dataDxfId="98">
      <calculatedColumnFormula>BB9-BD9</calculatedColumnFormula>
    </tableColumn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2CB012B-55FE-456A-94AB-078118C57FE8}" name="Aug_Table" displayName="Aug_Table" ref="AR8:BE28" totalsRowShown="0" headerRowDxfId="97" tableBorderDxfId="96">
  <autoFilter ref="AR8:BE28" xr:uid="{F2CB012B-55FE-456A-94AB-078118C57F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7DF015D3-B6BC-41FA-9C31-60671CE74705}" name="S.no" dataDxfId="95"/>
    <tableColumn id="2" xr3:uid="{E0F569A3-FE6E-4CC3-889D-FC525F5E37A8}" name="Employee ID" dataDxfId="94"/>
    <tableColumn id="3" xr3:uid="{94C43AA8-C04D-4466-BDF4-55C74FB5FFEA}" name="Month" dataDxfId="93">
      <calculatedColumnFormula>$I$5</calculatedColumnFormula>
    </tableColumn>
    <tableColumn id="4" xr3:uid="{D1783FEE-7B0B-4E26-B9A3-34F3881783D1}" name="Employee Name" dataDxfId="92"/>
    <tableColumn id="5" xr3:uid="{F57F106F-9993-49CF-9280-3C2247F85861}" name="Present">
      <calculatedColumnFormula>COUNTIF($K9:$AO9,"P")</calculatedColumnFormula>
    </tableColumn>
    <tableColumn id="6" xr3:uid="{8B96CFFE-2C51-424E-9298-2A46B32E6C0C}" name="Absent ">
      <calculatedColumnFormula>COUNTIF($K9:$AO9,"A")</calculatedColumnFormula>
    </tableColumn>
    <tableColumn id="7" xr3:uid="{7A08318C-576F-4F69-86DD-52FB3FB4C49B}" name="Leave">
      <calculatedColumnFormula>COUNTIF($K9:$AO9,"L")</calculatedColumnFormula>
    </tableColumn>
    <tableColumn id="8" xr3:uid="{5C2CB0B9-17D9-4B5B-ADD6-654E2F331190}" name="Weekoff">
      <calculatedColumnFormula>$J$9</calculatedColumnFormula>
    </tableColumn>
    <tableColumn id="9" xr3:uid="{F19B872B-36FB-4841-BF24-506C71B8A6BA}" name="Days">
      <calculatedColumnFormula>$I$4</calculatedColumnFormula>
    </tableColumn>
    <tableColumn id="10" xr3:uid="{1FE4F19C-8E2A-478E-9FB4-42778A334F01}" name="Paid Days">
      <calculatedColumnFormula>AZ9-AW9</calculatedColumnFormula>
    </tableColumn>
    <tableColumn id="11" xr3:uid="{D05F3AE1-21C0-46C5-B12C-8999A0B3C859}" name="Salary" dataDxfId="91"/>
    <tableColumn id="12" xr3:uid="{F1F66E88-2FC9-486F-A6CA-061C89C05F51}" name="Per day Salary" dataDxfId="90">
      <calculatedColumnFormula>BB9/AZ9</calculatedColumnFormula>
    </tableColumn>
    <tableColumn id="13" xr3:uid="{7E954F6D-5D18-4965-86E6-5E8A299CB873}" name="Deduction" dataDxfId="89">
      <calculatedColumnFormula>BC9*AW9</calculatedColumnFormula>
    </tableColumn>
    <tableColumn id="14" xr3:uid="{16B6BEFE-4960-4687-A7FB-895EB5114503}" name="Total Salary" dataDxfId="88">
      <calculatedColumnFormula>BB9-BD9</calculatedColumnFormula>
    </tableColumn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D030BEE-8D92-4E0C-93BC-9442693041F4}" name="Sept_table" displayName="Sept_table" ref="AR8:BE28" totalsRowShown="0" headerRowDxfId="87" tableBorderDxfId="86">
  <autoFilter ref="AR8:BE28" xr:uid="{4D030BEE-8D92-4E0C-93BC-9442693041F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F514F3B7-EA48-4813-AC8C-61F6D9870248}" name="S.no" dataDxfId="85"/>
    <tableColumn id="2" xr3:uid="{48929C35-E958-4591-9E4F-EE210D8368E1}" name="Employee ID" dataDxfId="84"/>
    <tableColumn id="3" xr3:uid="{806D1A06-2065-45E2-BE91-B5960DAE4730}" name="Month" dataDxfId="83">
      <calculatedColumnFormula>$I$5</calculatedColumnFormula>
    </tableColumn>
    <tableColumn id="4" xr3:uid="{95B58736-D91D-4938-828B-58065833CCF7}" name="Employee Name" dataDxfId="82"/>
    <tableColumn id="5" xr3:uid="{069D0FC4-AD79-455F-B4FD-1354AA27826D}" name="Present">
      <calculatedColumnFormula>COUNTIF($K9:$AO9,"P")</calculatedColumnFormula>
    </tableColumn>
    <tableColumn id="6" xr3:uid="{766801A1-374E-4D26-8E31-BE564407D8B7}" name="Absent ">
      <calculatedColumnFormula>COUNTIF($K9:$AO9,"A")</calculatedColumnFormula>
    </tableColumn>
    <tableColumn id="7" xr3:uid="{36494C88-F5A7-4C47-997C-0D9BFD98AC27}" name="Leave">
      <calculatedColumnFormula>COUNTIF($K9:$AO9,"L")</calculatedColumnFormula>
    </tableColumn>
    <tableColumn id="8" xr3:uid="{77B0918B-D544-463B-BBA5-E3BD3471B766}" name="Weekoff">
      <calculatedColumnFormula>$J$9</calculatedColumnFormula>
    </tableColumn>
    <tableColumn id="9" xr3:uid="{4315A4BA-43C3-463E-BF12-FA3F07B201B0}" name="Days">
      <calculatedColumnFormula>$I$4</calculatedColumnFormula>
    </tableColumn>
    <tableColumn id="10" xr3:uid="{D36C4A0D-C4F9-4A06-8F5C-E60E70C0F3E6}" name="Paid Days">
      <calculatedColumnFormula>AZ9-AW9</calculatedColumnFormula>
    </tableColumn>
    <tableColumn id="11" xr3:uid="{0D653183-8B74-4A55-936B-6E4E82F96800}" name="Salary" dataDxfId="81"/>
    <tableColumn id="12" xr3:uid="{346D4BBD-3FB1-409F-9D79-B0B97561493D}" name="Per day Salary" dataDxfId="80">
      <calculatedColumnFormula>BB9/AZ9</calculatedColumnFormula>
    </tableColumn>
    <tableColumn id="13" xr3:uid="{CC365A46-9218-4012-8030-04B89B8383A3}" name="Deduction" dataDxfId="79">
      <calculatedColumnFormula>BC9*AW9</calculatedColumnFormula>
    </tableColumn>
    <tableColumn id="14" xr3:uid="{C5262852-0D5E-4FAD-AD0A-49E59A65A81E}" name="Total Salary" dataDxfId="78">
      <calculatedColumnFormula>BB9-BD9</calculatedColumnFormula>
    </tableColumn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ABE61EE-9DCD-4E1E-A3CB-A314C7E2D8F2}" name="Oct_table" displayName="Oct_table" ref="AR8:BE28" totalsRowShown="0" headerRowDxfId="77" tableBorderDxfId="76">
  <autoFilter ref="AR8:BE28" xr:uid="{0ABE61EE-9DCD-4E1E-A3CB-A314C7E2D8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8B52D114-A641-4A1A-B503-CBB41A0A1D66}" name="S.no" dataDxfId="75"/>
    <tableColumn id="2" xr3:uid="{B305FFAB-FC23-4A82-BB5B-71CA85ABAB25}" name="Employee ID" dataDxfId="74"/>
    <tableColumn id="3" xr3:uid="{3328F0B4-9C36-4776-A2E4-2B6652B94299}" name="Month" dataDxfId="73">
      <calculatedColumnFormula>$I$5</calculatedColumnFormula>
    </tableColumn>
    <tableColumn id="4" xr3:uid="{6F1D0E49-5AD2-40F5-8D07-1C2EE902B5EF}" name="Employee Name" dataDxfId="72"/>
    <tableColumn id="5" xr3:uid="{33B00625-7DD7-4F85-9247-B277EE2140FD}" name="Present">
      <calculatedColumnFormula>COUNTIF($K9:$AO9,"P")</calculatedColumnFormula>
    </tableColumn>
    <tableColumn id="6" xr3:uid="{D229A7DD-0A95-4E6C-B54D-59A65A5FCA2A}" name="Absent ">
      <calculatedColumnFormula>COUNTIF($K9:$AO9,"A")</calculatedColumnFormula>
    </tableColumn>
    <tableColumn id="7" xr3:uid="{C801DBBD-B230-457D-B69A-E1BA05B95759}" name="Leave">
      <calculatedColumnFormula>COUNTIF($K9:$AO9,"L")</calculatedColumnFormula>
    </tableColumn>
    <tableColumn id="8" xr3:uid="{CBA68E3D-28F9-46CD-B52E-BB8BD39CF287}" name="Weekoff">
      <calculatedColumnFormula>$J$9</calculatedColumnFormula>
    </tableColumn>
    <tableColumn id="9" xr3:uid="{4A918264-4679-4DA3-A5A3-A5101C229BC0}" name="Days">
      <calculatedColumnFormula>$I$4</calculatedColumnFormula>
    </tableColumn>
    <tableColumn id="10" xr3:uid="{93AA60BC-0E37-4C7D-AC7C-E4C08B52106E}" name="Paid Days">
      <calculatedColumnFormula>AZ9-AW9</calculatedColumnFormula>
    </tableColumn>
    <tableColumn id="11" xr3:uid="{A14A10C5-A434-4416-9D06-5E5C816D8D3C}" name="Salary" dataDxfId="71"/>
    <tableColumn id="12" xr3:uid="{7A39D994-DD57-43BC-B522-BD5E4A37AA41}" name="Per day Salary" dataDxfId="70">
      <calculatedColumnFormula>BB9/AZ9</calculatedColumnFormula>
    </tableColumn>
    <tableColumn id="13" xr3:uid="{AAAD71A4-C252-4B01-99FD-49F973A05089}" name="Deduction" dataDxfId="69">
      <calculatedColumnFormula>BC9*AW9</calculatedColumnFormula>
    </tableColumn>
    <tableColumn id="14" xr3:uid="{D990DE82-80C2-4FBD-98E0-85BD95C50017}" name="Total Salary" dataDxfId="68">
      <calculatedColumnFormula>BB9-BD9</calculatedColumnFormula>
    </tableColumn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79D3A0D-FDBC-4C69-8B19-7A21208FDBE6}" name="Nov_table" displayName="Nov_table" ref="AR8:BE28" totalsRowShown="0" headerRowDxfId="67" tableBorderDxfId="66">
  <autoFilter ref="AR8:BE28" xr:uid="{D79D3A0D-FDBC-4C69-8B19-7A21208FDB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9063BC3C-DA8C-4CF2-A441-84F223FE6662}" name="S.no" dataDxfId="65"/>
    <tableColumn id="2" xr3:uid="{48F600FE-9280-4538-B9DB-A6C20EB37CCF}" name="Employee ID" dataDxfId="64"/>
    <tableColumn id="3" xr3:uid="{77F745B3-8388-4402-A4A6-C2C900F602B2}" name="Month" dataDxfId="63">
      <calculatedColumnFormula>$I$5</calculatedColumnFormula>
    </tableColumn>
    <tableColumn id="4" xr3:uid="{938CB598-8BD8-4730-B9CB-F36F098C6B54}" name="Employee Name" dataDxfId="62"/>
    <tableColumn id="5" xr3:uid="{85EA7096-7676-4A5A-8553-48E3C705E9D3}" name="Present">
      <calculatedColumnFormula>COUNTIF($K9:$AO9,"P")</calculatedColumnFormula>
    </tableColumn>
    <tableColumn id="6" xr3:uid="{306A047E-DF08-4540-89CC-5355B8338364}" name="Absent ">
      <calculatedColumnFormula>COUNTIF($K9:$AO9,"A")</calculatedColumnFormula>
    </tableColumn>
    <tableColumn id="7" xr3:uid="{15FD20C4-F49B-449E-8313-5C8AF9927C65}" name="Leave">
      <calculatedColumnFormula>COUNTIF($K9:$AO9,"L")</calculatedColumnFormula>
    </tableColumn>
    <tableColumn id="8" xr3:uid="{994F97D3-3395-41AC-8F19-FE8306995CA1}" name="Weekoff">
      <calculatedColumnFormula>$J$9</calculatedColumnFormula>
    </tableColumn>
    <tableColumn id="9" xr3:uid="{CC73C4D1-5594-4A7A-BBEC-4173AC93A47B}" name="Days">
      <calculatedColumnFormula>$I$4</calculatedColumnFormula>
    </tableColumn>
    <tableColumn id="10" xr3:uid="{1F4450AA-7868-4766-BC98-07C837AB99A6}" name="Paid Days">
      <calculatedColumnFormula>AZ9-AW9</calculatedColumnFormula>
    </tableColumn>
    <tableColumn id="11" xr3:uid="{710F0C51-6222-4180-9EDC-C980507C483B}" name="Salary" dataDxfId="61"/>
    <tableColumn id="12" xr3:uid="{85E81F80-0CE8-4E95-9CF0-7AD4B571F624}" name="Per day Salary" dataDxfId="60">
      <calculatedColumnFormula>BB9/AZ9</calculatedColumnFormula>
    </tableColumn>
    <tableColumn id="13" xr3:uid="{9B35A0F6-C8F4-4070-A5D5-2D38D1EB1DAB}" name="Deduction" dataDxfId="59">
      <calculatedColumnFormula>BC9*AW9</calculatedColumnFormula>
    </tableColumn>
    <tableColumn id="14" xr3:uid="{74FD0B99-3759-4371-9507-9060FDF85232}" name="Total Salary" dataDxfId="58">
      <calculatedColumnFormula>BB9-BD9</calculatedColumnFormula>
    </tableColumn>
  </tableColumns>
  <tableStyleInfo name="TableStyleMedium2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6E31E2B-8098-46DB-AB36-DFC9C8281B76}" name="Dec_table" displayName="Dec_table" ref="AR8:BE28" totalsRowShown="0" headerRowDxfId="57" tableBorderDxfId="56">
  <autoFilter ref="AR8:BE28" xr:uid="{56E31E2B-8098-46DB-AB36-DFC9C8281B7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B6D474BC-4EAC-45D2-9486-73A6CA501F11}" name="S.no" dataDxfId="55"/>
    <tableColumn id="2" xr3:uid="{A5426FA6-BA55-4009-95CF-01DAC6482335}" name="Employee ID" dataDxfId="54"/>
    <tableColumn id="3" xr3:uid="{8443A61E-78D8-475B-B022-FB3033CAD42A}" name="Month" dataDxfId="53">
      <calculatedColumnFormula>$I$5</calculatedColumnFormula>
    </tableColumn>
    <tableColumn id="4" xr3:uid="{58E58485-6EE1-4F5A-AEAE-20AEA723C8C2}" name="Employee Name" dataDxfId="52"/>
    <tableColumn id="5" xr3:uid="{8439236A-35E0-450F-8F35-B63D91C8916F}" name="Present">
      <calculatedColumnFormula>COUNTIF($K9:$AO9,"P")</calculatedColumnFormula>
    </tableColumn>
    <tableColumn id="6" xr3:uid="{E239B153-6560-4C27-82DD-A15E5D37A965}" name="Absent ">
      <calculatedColumnFormula>COUNTIF($K9:$AO9,"A")</calculatedColumnFormula>
    </tableColumn>
    <tableColumn id="7" xr3:uid="{83EA7D9B-7BEC-4BDE-B013-609939873FAD}" name="Leave">
      <calculatedColumnFormula>COUNTIF($K9:$AO9,"L")</calculatedColumnFormula>
    </tableColumn>
    <tableColumn id="8" xr3:uid="{897CD3A7-6D8C-4AE5-A0D6-C8DE4553C9EB}" name="Weekoff">
      <calculatedColumnFormula>$J$9</calculatedColumnFormula>
    </tableColumn>
    <tableColumn id="9" xr3:uid="{A569A3DD-2207-41D8-BEF9-85D62CF7F2DB}" name="Days">
      <calculatedColumnFormula>$I$4</calculatedColumnFormula>
    </tableColumn>
    <tableColumn id="10" xr3:uid="{1DA8B8C2-E353-4D15-A908-63FC71B0BDAC}" name="Paid Days">
      <calculatedColumnFormula>AZ9-AW9</calculatedColumnFormula>
    </tableColumn>
    <tableColumn id="11" xr3:uid="{38DDE75F-3D97-4366-9E2A-AD31DF943A63}" name="Salary" dataDxfId="51"/>
    <tableColumn id="12" xr3:uid="{A77AC7EE-51EC-414F-825C-68A93A65AB6B}" name="Per day Salary" dataDxfId="50">
      <calculatedColumnFormula>BB9/AZ9</calculatedColumnFormula>
    </tableColumn>
    <tableColumn id="13" xr3:uid="{B4309B10-B3AA-4D1E-BF22-FA2A2E074B5D}" name="Deduction" dataDxfId="49">
      <calculatedColumnFormula>BC9*AW9</calculatedColumnFormula>
    </tableColumn>
    <tableColumn id="14" xr3:uid="{12811575-844E-4B06-955B-F95E3E79FE95}" name="Total Salary" dataDxfId="48">
      <calculatedColumnFormula>BB9-BD9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108C-4E59-4C40-99A3-9F6DAB93F575}">
  <dimension ref="A1:C22"/>
  <sheetViews>
    <sheetView zoomScaleNormal="100" workbookViewId="0">
      <selection activeCell="B3" sqref="B3:B22"/>
    </sheetView>
  </sheetViews>
  <sheetFormatPr defaultRowHeight="14.4" x14ac:dyDescent="0.3"/>
  <cols>
    <col min="1" max="1" width="9.77734375" customWidth="1"/>
    <col min="2" max="2" width="16.5546875" customWidth="1"/>
    <col min="3" max="3" width="20.33203125" customWidth="1"/>
  </cols>
  <sheetData>
    <row r="1" spans="1:3" x14ac:dyDescent="0.3">
      <c r="A1" s="78" t="s">
        <v>0</v>
      </c>
      <c r="B1" s="80" t="s">
        <v>1</v>
      </c>
      <c r="C1" s="82" t="s">
        <v>2</v>
      </c>
    </row>
    <row r="2" spans="1:3" x14ac:dyDescent="0.3">
      <c r="A2" s="79"/>
      <c r="B2" s="81"/>
      <c r="C2" s="81"/>
    </row>
    <row r="3" spans="1:3" ht="15.6" x14ac:dyDescent="0.3">
      <c r="A3" s="3">
        <v>1</v>
      </c>
      <c r="B3" s="1" t="s">
        <v>3</v>
      </c>
      <c r="C3" s="2">
        <v>1001</v>
      </c>
    </row>
    <row r="4" spans="1:3" ht="15.6" x14ac:dyDescent="0.3">
      <c r="A4" s="3">
        <v>2</v>
      </c>
      <c r="B4" s="2" t="s">
        <v>4</v>
      </c>
      <c r="C4" s="2">
        <v>1002</v>
      </c>
    </row>
    <row r="5" spans="1:3" ht="15.6" x14ac:dyDescent="0.3">
      <c r="A5" s="3">
        <v>3</v>
      </c>
      <c r="B5" s="2" t="s">
        <v>5</v>
      </c>
      <c r="C5" s="2">
        <v>1003</v>
      </c>
    </row>
    <row r="6" spans="1:3" ht="15.6" x14ac:dyDescent="0.3">
      <c r="A6" s="3">
        <v>4</v>
      </c>
      <c r="B6" s="2" t="s">
        <v>6</v>
      </c>
      <c r="C6" s="2">
        <v>1004</v>
      </c>
    </row>
    <row r="7" spans="1:3" ht="15.6" x14ac:dyDescent="0.3">
      <c r="A7" s="3">
        <v>5</v>
      </c>
      <c r="B7" s="2" t="s">
        <v>7</v>
      </c>
      <c r="C7" s="2">
        <v>1005</v>
      </c>
    </row>
    <row r="8" spans="1:3" ht="15.6" x14ac:dyDescent="0.3">
      <c r="A8" s="3">
        <v>6</v>
      </c>
      <c r="B8" s="2" t="s">
        <v>8</v>
      </c>
      <c r="C8" s="2">
        <v>1006</v>
      </c>
    </row>
    <row r="9" spans="1:3" ht="15.6" x14ac:dyDescent="0.3">
      <c r="A9" s="3">
        <v>7</v>
      </c>
      <c r="B9" s="2" t="s">
        <v>9</v>
      </c>
      <c r="C9" s="2">
        <v>1007</v>
      </c>
    </row>
    <row r="10" spans="1:3" ht="15.6" x14ac:dyDescent="0.3">
      <c r="A10" s="3">
        <v>8</v>
      </c>
      <c r="B10" s="2" t="s">
        <v>10</v>
      </c>
      <c r="C10" s="2">
        <v>1008</v>
      </c>
    </row>
    <row r="11" spans="1:3" ht="15.6" x14ac:dyDescent="0.3">
      <c r="A11" s="3">
        <v>9</v>
      </c>
      <c r="B11" s="2" t="s">
        <v>11</v>
      </c>
      <c r="C11" s="2">
        <v>1009</v>
      </c>
    </row>
    <row r="12" spans="1:3" ht="15.6" x14ac:dyDescent="0.3">
      <c r="A12" s="3">
        <v>10</v>
      </c>
      <c r="B12" s="2" t="s">
        <v>12</v>
      </c>
      <c r="C12" s="2">
        <v>1010</v>
      </c>
    </row>
    <row r="13" spans="1:3" ht="15.6" x14ac:dyDescent="0.3">
      <c r="A13" s="3">
        <v>11</v>
      </c>
      <c r="B13" s="2" t="s">
        <v>13</v>
      </c>
      <c r="C13" s="2">
        <v>1011</v>
      </c>
    </row>
    <row r="14" spans="1:3" ht="15.6" x14ac:dyDescent="0.3">
      <c r="A14" s="3">
        <v>12</v>
      </c>
      <c r="B14" s="2" t="s">
        <v>14</v>
      </c>
      <c r="C14" s="2">
        <v>1012</v>
      </c>
    </row>
    <row r="15" spans="1:3" ht="15.6" x14ac:dyDescent="0.3">
      <c r="A15" s="3">
        <v>13</v>
      </c>
      <c r="B15" s="2" t="s">
        <v>15</v>
      </c>
      <c r="C15" s="2">
        <v>1013</v>
      </c>
    </row>
    <row r="16" spans="1:3" ht="15.6" x14ac:dyDescent="0.3">
      <c r="A16" s="3">
        <v>14</v>
      </c>
      <c r="B16" s="2" t="s">
        <v>16</v>
      </c>
      <c r="C16" s="2">
        <v>1014</v>
      </c>
    </row>
    <row r="17" spans="1:3" ht="15.6" x14ac:dyDescent="0.3">
      <c r="A17" s="3">
        <v>15</v>
      </c>
      <c r="B17" s="2" t="s">
        <v>17</v>
      </c>
      <c r="C17" s="2">
        <v>1015</v>
      </c>
    </row>
    <row r="18" spans="1:3" ht="15.6" x14ac:dyDescent="0.3">
      <c r="A18" s="3">
        <v>16</v>
      </c>
      <c r="B18" s="2" t="s">
        <v>18</v>
      </c>
      <c r="C18" s="2">
        <v>1016</v>
      </c>
    </row>
    <row r="19" spans="1:3" ht="15.6" x14ac:dyDescent="0.3">
      <c r="A19" s="3">
        <v>17</v>
      </c>
      <c r="B19" s="2" t="s">
        <v>19</v>
      </c>
      <c r="C19" s="2">
        <v>1017</v>
      </c>
    </row>
    <row r="20" spans="1:3" ht="15.6" x14ac:dyDescent="0.3">
      <c r="A20" s="3">
        <v>18</v>
      </c>
      <c r="B20" s="2" t="s">
        <v>20</v>
      </c>
      <c r="C20" s="2">
        <v>1018</v>
      </c>
    </row>
    <row r="21" spans="1:3" ht="15.6" x14ac:dyDescent="0.3">
      <c r="A21" s="3">
        <v>19</v>
      </c>
      <c r="B21" s="2" t="s">
        <v>21</v>
      </c>
      <c r="C21" s="2">
        <v>1019</v>
      </c>
    </row>
    <row r="22" spans="1:3" ht="15.6" x14ac:dyDescent="0.3">
      <c r="A22" s="3">
        <v>20</v>
      </c>
      <c r="B22" s="2" t="s">
        <v>22</v>
      </c>
      <c r="C22" s="2">
        <v>1020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60ECE-384F-43F9-9A0E-5038B2939C3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D78C2-97CB-4657-B071-9F4917783B1F}">
  <dimension ref="A1:A12"/>
  <sheetViews>
    <sheetView workbookViewId="0"/>
  </sheetViews>
  <sheetFormatPr defaultRowHeight="14.4" x14ac:dyDescent="0.3"/>
  <cols>
    <col min="1" max="1" width="12.5546875" customWidth="1"/>
  </cols>
  <sheetData>
    <row r="1" spans="1:1" x14ac:dyDescent="0.3">
      <c r="A1" s="4">
        <v>45658</v>
      </c>
    </row>
    <row r="2" spans="1:1" x14ac:dyDescent="0.3">
      <c r="A2" s="4">
        <v>45689</v>
      </c>
    </row>
    <row r="3" spans="1:1" x14ac:dyDescent="0.3">
      <c r="A3" s="4">
        <v>45717</v>
      </c>
    </row>
    <row r="4" spans="1:1" x14ac:dyDescent="0.3">
      <c r="A4" s="4">
        <v>45748</v>
      </c>
    </row>
    <row r="5" spans="1:1" x14ac:dyDescent="0.3">
      <c r="A5" s="4">
        <v>45778</v>
      </c>
    </row>
    <row r="6" spans="1:1" x14ac:dyDescent="0.3">
      <c r="A6" s="4">
        <v>45809</v>
      </c>
    </row>
    <row r="7" spans="1:1" x14ac:dyDescent="0.3">
      <c r="A7" s="4">
        <v>45839</v>
      </c>
    </row>
    <row r="8" spans="1:1" x14ac:dyDescent="0.3">
      <c r="A8" s="4">
        <v>45870</v>
      </c>
    </row>
    <row r="9" spans="1:1" x14ac:dyDescent="0.3">
      <c r="A9" s="4">
        <v>45901</v>
      </c>
    </row>
    <row r="10" spans="1:1" x14ac:dyDescent="0.3">
      <c r="A10" s="4">
        <v>45931</v>
      </c>
    </row>
    <row r="11" spans="1:1" x14ac:dyDescent="0.3">
      <c r="A11" s="4">
        <v>45962</v>
      </c>
    </row>
    <row r="12" spans="1:1" x14ac:dyDescent="0.3">
      <c r="A12" s="4">
        <v>45992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20647-CE2C-4345-A485-8209E8B9CA7C}">
  <dimension ref="D1:BG44"/>
  <sheetViews>
    <sheetView tabSelected="1" zoomScale="60" zoomScaleNormal="100" workbookViewId="0">
      <selection activeCell="AP29" sqref="AP29"/>
    </sheetView>
  </sheetViews>
  <sheetFormatPr defaultRowHeight="14.4" x14ac:dyDescent="0.3"/>
  <cols>
    <col min="7" max="7" width="9.6640625" customWidth="1"/>
    <col min="8" max="8" width="14.88671875" customWidth="1"/>
    <col min="9" max="9" width="20.21875" customWidth="1"/>
    <col min="10" max="10" width="10.109375" customWidth="1"/>
    <col min="11" max="11" width="5.77734375" bestFit="1" customWidth="1"/>
    <col min="12" max="12" width="5.21875" bestFit="1" customWidth="1"/>
    <col min="13" max="13" width="3.77734375" bestFit="1" customWidth="1"/>
    <col min="14" max="14" width="4.33203125" bestFit="1" customWidth="1"/>
    <col min="15" max="15" width="5.21875" bestFit="1" customWidth="1"/>
    <col min="16" max="16" width="5.44140625" bestFit="1" customWidth="1"/>
    <col min="17" max="17" width="5" bestFit="1" customWidth="1"/>
    <col min="18" max="18" width="5.77734375" bestFit="1" customWidth="1"/>
    <col min="19" max="19" width="5.21875" bestFit="1" customWidth="1"/>
    <col min="20" max="20" width="3.77734375" bestFit="1" customWidth="1"/>
    <col min="21" max="21" width="4.33203125" bestFit="1" customWidth="1"/>
    <col min="22" max="22" width="5.21875" bestFit="1" customWidth="1"/>
    <col min="23" max="23" width="5.44140625" bestFit="1" customWidth="1"/>
    <col min="24" max="24" width="5" bestFit="1" customWidth="1"/>
    <col min="25" max="25" width="5.77734375" bestFit="1" customWidth="1"/>
    <col min="26" max="26" width="5.21875" bestFit="1" customWidth="1"/>
    <col min="27" max="27" width="3.77734375" bestFit="1" customWidth="1"/>
    <col min="28" max="28" width="4.33203125" bestFit="1" customWidth="1"/>
    <col min="29" max="29" width="5.21875" bestFit="1" customWidth="1"/>
    <col min="30" max="30" width="5.44140625" bestFit="1" customWidth="1"/>
    <col min="31" max="31" width="5" bestFit="1" customWidth="1"/>
    <col min="32" max="32" width="5.77734375" bestFit="1" customWidth="1"/>
    <col min="33" max="33" width="5.21875" bestFit="1" customWidth="1"/>
    <col min="34" max="34" width="3.77734375" bestFit="1" customWidth="1"/>
    <col min="35" max="35" width="4.33203125" bestFit="1" customWidth="1"/>
    <col min="36" max="36" width="5.21875" bestFit="1" customWidth="1"/>
    <col min="37" max="37" width="5.44140625" bestFit="1" customWidth="1"/>
    <col min="38" max="38" width="5" bestFit="1" customWidth="1"/>
    <col min="39" max="39" width="5.77734375" bestFit="1" customWidth="1"/>
    <col min="40" max="40" width="5.21875" bestFit="1" customWidth="1"/>
    <col min="41" max="41" width="3.77734375" bestFit="1" customWidth="1"/>
    <col min="44" max="44" width="7" customWidth="1"/>
    <col min="45" max="45" width="15.33203125" customWidth="1"/>
    <col min="46" max="46" width="12.5546875" customWidth="1"/>
    <col min="47" max="47" width="19" bestFit="1" customWidth="1"/>
    <col min="48" max="49" width="10.109375" customWidth="1"/>
    <col min="51" max="51" width="11.109375" customWidth="1"/>
    <col min="53" max="53" width="12.5546875" customWidth="1"/>
    <col min="54" max="54" width="12" bestFit="1" customWidth="1"/>
    <col min="55" max="55" width="16.77734375" customWidth="1"/>
    <col min="56" max="56" width="12.5546875" customWidth="1"/>
    <col min="57" max="57" width="14.44140625" customWidth="1"/>
  </cols>
  <sheetData>
    <row r="1" spans="4:59" x14ac:dyDescent="0.3">
      <c r="AQ1" s="42"/>
    </row>
    <row r="2" spans="4:59" x14ac:dyDescent="0.3">
      <c r="AQ2" s="42"/>
    </row>
    <row r="3" spans="4:59" x14ac:dyDescent="0.3">
      <c r="AQ3" s="42"/>
    </row>
    <row r="4" spans="4:59" x14ac:dyDescent="0.3">
      <c r="D4" s="42"/>
      <c r="E4" s="42"/>
      <c r="F4" s="42"/>
      <c r="G4" s="68"/>
      <c r="H4" s="68"/>
      <c r="I4" s="68">
        <f>(DATEDIF($H$5,$H$6,"D")+1)</f>
        <v>31</v>
      </c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</row>
    <row r="5" spans="4:59" x14ac:dyDescent="0.3">
      <c r="D5" s="42"/>
      <c r="E5" s="42"/>
      <c r="F5" s="42"/>
      <c r="G5" s="68" t="s">
        <v>26</v>
      </c>
      <c r="H5" s="69">
        <v>45658</v>
      </c>
      <c r="I5" s="68" t="str">
        <f>TEXT(H5,"MMMM")</f>
        <v>January</v>
      </c>
      <c r="J5" s="42"/>
      <c r="K5" s="42"/>
      <c r="L5" s="42"/>
      <c r="M5" s="43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</row>
    <row r="6" spans="4:59" ht="15" thickBot="1" x14ac:dyDescent="0.35">
      <c r="D6" s="42"/>
      <c r="E6" s="42"/>
      <c r="F6" s="42"/>
      <c r="G6" s="68" t="s">
        <v>27</v>
      </c>
      <c r="H6" s="69">
        <f>EOMONTH(H5,0)</f>
        <v>45688</v>
      </c>
      <c r="I6" s="68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</row>
    <row r="7" spans="4:59" ht="15.6" x14ac:dyDescent="0.3">
      <c r="D7" s="42"/>
      <c r="E7" s="42"/>
      <c r="F7" s="42"/>
      <c r="G7" s="83" t="s">
        <v>29</v>
      </c>
      <c r="H7" s="84"/>
      <c r="I7" s="84"/>
      <c r="J7" s="55" t="s">
        <v>28</v>
      </c>
      <c r="K7" s="55" t="str">
        <f>TEXT(K8,"DDD")</f>
        <v>Wed</v>
      </c>
      <c r="L7" s="55" t="str">
        <f t="shared" ref="L7:AO7" si="0">TEXT(L8,"DDD")</f>
        <v>Thu</v>
      </c>
      <c r="M7" s="55" t="str">
        <f t="shared" si="0"/>
        <v>Fri</v>
      </c>
      <c r="N7" s="55" t="str">
        <f t="shared" si="0"/>
        <v>Sat</v>
      </c>
      <c r="O7" s="55" t="str">
        <f t="shared" si="0"/>
        <v>Sun</v>
      </c>
      <c r="P7" s="55" t="str">
        <f t="shared" si="0"/>
        <v>Mon</v>
      </c>
      <c r="Q7" s="55" t="str">
        <f t="shared" si="0"/>
        <v>Tue</v>
      </c>
      <c r="R7" s="55" t="str">
        <f t="shared" si="0"/>
        <v>Wed</v>
      </c>
      <c r="S7" s="55" t="str">
        <f t="shared" si="0"/>
        <v>Thu</v>
      </c>
      <c r="T7" s="55" t="str">
        <f t="shared" si="0"/>
        <v>Fri</v>
      </c>
      <c r="U7" s="55" t="str">
        <f t="shared" si="0"/>
        <v>Sat</v>
      </c>
      <c r="V7" s="55" t="str">
        <f t="shared" si="0"/>
        <v>Sun</v>
      </c>
      <c r="W7" s="55" t="str">
        <f t="shared" si="0"/>
        <v>Mon</v>
      </c>
      <c r="X7" s="55" t="str">
        <f t="shared" si="0"/>
        <v>Tue</v>
      </c>
      <c r="Y7" s="55" t="str">
        <f t="shared" si="0"/>
        <v>Wed</v>
      </c>
      <c r="Z7" s="55" t="str">
        <f t="shared" si="0"/>
        <v>Thu</v>
      </c>
      <c r="AA7" s="55" t="str">
        <f t="shared" si="0"/>
        <v>Fri</v>
      </c>
      <c r="AB7" s="55" t="str">
        <f t="shared" si="0"/>
        <v>Sat</v>
      </c>
      <c r="AC7" s="55" t="str">
        <f t="shared" si="0"/>
        <v>Sun</v>
      </c>
      <c r="AD7" s="55" t="str">
        <f t="shared" si="0"/>
        <v>Mon</v>
      </c>
      <c r="AE7" s="55" t="str">
        <f t="shared" si="0"/>
        <v>Tue</v>
      </c>
      <c r="AF7" s="55" t="str">
        <f t="shared" si="0"/>
        <v>Wed</v>
      </c>
      <c r="AG7" s="55" t="str">
        <f t="shared" si="0"/>
        <v>Thu</v>
      </c>
      <c r="AH7" s="55" t="str">
        <f t="shared" si="0"/>
        <v>Fri</v>
      </c>
      <c r="AI7" s="55" t="str">
        <f t="shared" si="0"/>
        <v>Sat</v>
      </c>
      <c r="AJ7" s="55" t="str">
        <f t="shared" si="0"/>
        <v>Sun</v>
      </c>
      <c r="AK7" s="55" t="str">
        <f t="shared" si="0"/>
        <v>Mon</v>
      </c>
      <c r="AL7" s="55" t="str">
        <f t="shared" si="0"/>
        <v>Tue</v>
      </c>
      <c r="AM7" s="55" t="str">
        <f t="shared" si="0"/>
        <v>Wed</v>
      </c>
      <c r="AN7" s="55" t="str">
        <f t="shared" si="0"/>
        <v>Thu</v>
      </c>
      <c r="AO7" s="56" t="str">
        <f t="shared" si="0"/>
        <v>Fri</v>
      </c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</row>
    <row r="8" spans="4:59" ht="16.2" thickBot="1" x14ac:dyDescent="0.35">
      <c r="D8" s="42"/>
      <c r="E8" s="42"/>
      <c r="F8" s="42"/>
      <c r="G8" s="57" t="s">
        <v>0</v>
      </c>
      <c r="H8" s="7" t="s">
        <v>23</v>
      </c>
      <c r="I8" s="8" t="s">
        <v>24</v>
      </c>
      <c r="J8" s="45" t="s">
        <v>25</v>
      </c>
      <c r="K8" s="46">
        <f>H5</f>
        <v>45658</v>
      </c>
      <c r="L8" s="46">
        <f>IF(K8&lt;$H$6,K8+1,"")</f>
        <v>45659</v>
      </c>
      <c r="M8" s="46">
        <f t="shared" ref="M8:AO8" si="1">IF(L8&lt;$H$6,L8+1,"")</f>
        <v>45660</v>
      </c>
      <c r="N8" s="46">
        <f t="shared" si="1"/>
        <v>45661</v>
      </c>
      <c r="O8" s="46">
        <f t="shared" si="1"/>
        <v>45662</v>
      </c>
      <c r="P8" s="46">
        <f t="shared" si="1"/>
        <v>45663</v>
      </c>
      <c r="Q8" s="46">
        <f t="shared" si="1"/>
        <v>45664</v>
      </c>
      <c r="R8" s="46">
        <f t="shared" si="1"/>
        <v>45665</v>
      </c>
      <c r="S8" s="46">
        <f t="shared" si="1"/>
        <v>45666</v>
      </c>
      <c r="T8" s="46">
        <f t="shared" si="1"/>
        <v>45667</v>
      </c>
      <c r="U8" s="46">
        <f t="shared" si="1"/>
        <v>45668</v>
      </c>
      <c r="V8" s="46">
        <f t="shared" si="1"/>
        <v>45669</v>
      </c>
      <c r="W8" s="46">
        <f t="shared" si="1"/>
        <v>45670</v>
      </c>
      <c r="X8" s="46">
        <f t="shared" si="1"/>
        <v>45671</v>
      </c>
      <c r="Y8" s="46">
        <f t="shared" si="1"/>
        <v>45672</v>
      </c>
      <c r="Z8" s="46">
        <f t="shared" si="1"/>
        <v>45673</v>
      </c>
      <c r="AA8" s="46">
        <f t="shared" si="1"/>
        <v>45674</v>
      </c>
      <c r="AB8" s="46">
        <f t="shared" si="1"/>
        <v>45675</v>
      </c>
      <c r="AC8" s="46">
        <f>IF(AB8&lt;$H$6,AB8+1,"")</f>
        <v>45676</v>
      </c>
      <c r="AD8" s="46">
        <f t="shared" si="1"/>
        <v>45677</v>
      </c>
      <c r="AE8" s="46">
        <f t="shared" si="1"/>
        <v>45678</v>
      </c>
      <c r="AF8" s="46">
        <f t="shared" si="1"/>
        <v>45679</v>
      </c>
      <c r="AG8" s="46">
        <f t="shared" si="1"/>
        <v>45680</v>
      </c>
      <c r="AH8" s="46">
        <f t="shared" si="1"/>
        <v>45681</v>
      </c>
      <c r="AI8" s="46">
        <f t="shared" si="1"/>
        <v>45682</v>
      </c>
      <c r="AJ8" s="46">
        <f t="shared" si="1"/>
        <v>45683</v>
      </c>
      <c r="AK8" s="46">
        <f t="shared" si="1"/>
        <v>45684</v>
      </c>
      <c r="AL8" s="46">
        <f>IF(AK8&lt;$H$6,AK8+1,"")</f>
        <v>45685</v>
      </c>
      <c r="AM8" s="46">
        <f t="shared" si="1"/>
        <v>45686</v>
      </c>
      <c r="AN8" s="46">
        <f t="shared" si="1"/>
        <v>45687</v>
      </c>
      <c r="AO8" s="58">
        <f t="shared" si="1"/>
        <v>45688</v>
      </c>
      <c r="AP8" s="42"/>
      <c r="AQ8" s="42"/>
      <c r="AR8" s="27" t="s">
        <v>0</v>
      </c>
      <c r="AS8" s="27" t="s">
        <v>23</v>
      </c>
      <c r="AT8" s="27" t="s">
        <v>39</v>
      </c>
      <c r="AU8" s="39" t="s">
        <v>24</v>
      </c>
      <c r="AV8" s="40" t="s">
        <v>30</v>
      </c>
      <c r="AW8" s="41" t="s">
        <v>31</v>
      </c>
      <c r="AX8" s="41" t="s">
        <v>32</v>
      </c>
      <c r="AY8" s="41" t="s">
        <v>33</v>
      </c>
      <c r="AZ8" s="41" t="s">
        <v>28</v>
      </c>
      <c r="BA8" s="41" t="s">
        <v>34</v>
      </c>
      <c r="BB8" s="41" t="s">
        <v>35</v>
      </c>
      <c r="BC8" s="41" t="s">
        <v>36</v>
      </c>
      <c r="BD8" s="41" t="s">
        <v>37</v>
      </c>
      <c r="BE8" s="41" t="s">
        <v>38</v>
      </c>
    </row>
    <row r="9" spans="4:59" ht="15.6" x14ac:dyDescent="0.3">
      <c r="D9" s="42"/>
      <c r="E9" s="42"/>
      <c r="F9" s="42"/>
      <c r="G9" s="59">
        <v>1</v>
      </c>
      <c r="H9" s="10">
        <v>1001</v>
      </c>
      <c r="I9" s="11" t="s">
        <v>3</v>
      </c>
      <c r="J9" s="47">
        <f>COUNTIF($K$7:$AO$7,"sun")</f>
        <v>4</v>
      </c>
      <c r="K9" s="48" t="s">
        <v>40</v>
      </c>
      <c r="L9" s="48" t="s">
        <v>40</v>
      </c>
      <c r="M9" s="48" t="s">
        <v>40</v>
      </c>
      <c r="N9" s="48" t="s">
        <v>40</v>
      </c>
      <c r="O9" s="48" t="str">
        <f t="shared" ref="O9:AJ17" si="2">IF(O$7="sun","WO","")</f>
        <v>WO</v>
      </c>
      <c r="P9" s="48" t="s">
        <v>41</v>
      </c>
      <c r="Q9" s="48" t="s">
        <v>40</v>
      </c>
      <c r="R9" s="48" t="s">
        <v>40</v>
      </c>
      <c r="S9" s="48" t="s">
        <v>40</v>
      </c>
      <c r="T9" s="48" t="s">
        <v>40</v>
      </c>
      <c r="U9" s="48" t="s">
        <v>41</v>
      </c>
      <c r="V9" s="48" t="str">
        <f t="shared" si="2"/>
        <v>WO</v>
      </c>
      <c r="W9" s="48" t="s">
        <v>40</v>
      </c>
      <c r="X9" s="48" t="s">
        <v>40</v>
      </c>
      <c r="Y9" s="48" t="s">
        <v>40</v>
      </c>
      <c r="Z9" s="48" t="s">
        <v>40</v>
      </c>
      <c r="AA9" s="48" t="s">
        <v>42</v>
      </c>
      <c r="AB9" s="48" t="s">
        <v>40</v>
      </c>
      <c r="AC9" s="48" t="str">
        <f t="shared" si="2"/>
        <v>WO</v>
      </c>
      <c r="AD9" s="48" t="s">
        <v>41</v>
      </c>
      <c r="AE9" s="48" t="s">
        <v>40</v>
      </c>
      <c r="AF9" s="48" t="s">
        <v>40</v>
      </c>
      <c r="AG9" s="48" t="s">
        <v>42</v>
      </c>
      <c r="AH9" s="48" t="s">
        <v>40</v>
      </c>
      <c r="AI9" s="48" t="s">
        <v>40</v>
      </c>
      <c r="AJ9" s="48" t="str">
        <f t="shared" si="2"/>
        <v>WO</v>
      </c>
      <c r="AK9" s="48" t="s">
        <v>41</v>
      </c>
      <c r="AL9" s="48" t="s">
        <v>42</v>
      </c>
      <c r="AM9" s="48" t="s">
        <v>42</v>
      </c>
      <c r="AN9" s="48" t="s">
        <v>42</v>
      </c>
      <c r="AO9" s="60" t="s">
        <v>40</v>
      </c>
      <c r="AP9" s="42"/>
      <c r="AQ9" s="42"/>
      <c r="AR9" s="3">
        <v>1</v>
      </c>
      <c r="AS9" s="3">
        <v>1001</v>
      </c>
      <c r="AT9" s="3" t="str">
        <f>$I$5</f>
        <v>January</v>
      </c>
      <c r="AU9" s="36" t="s">
        <v>3</v>
      </c>
      <c r="AV9" s="30">
        <f t="shared" ref="AV9:AV28" si="3">COUNTIF($K9:$AO9,"*P*")</f>
        <v>18</v>
      </c>
      <c r="AW9" s="30">
        <f t="shared" ref="AW9:AW28" si="4">COUNTIF($K9:$AO9,"*A*")</f>
        <v>5</v>
      </c>
      <c r="AX9" s="30">
        <f>COUNTIF($K9:$AO9,"L")</f>
        <v>4</v>
      </c>
      <c r="AY9" s="30">
        <f>$J$9</f>
        <v>4</v>
      </c>
      <c r="AZ9" s="30">
        <f>$I$4</f>
        <v>31</v>
      </c>
      <c r="BA9" s="30">
        <f>AZ9-AW9</f>
        <v>26</v>
      </c>
      <c r="BB9" s="31">
        <v>25000</v>
      </c>
      <c r="BC9" s="32">
        <f>BB9/AZ9</f>
        <v>806.45161290322585</v>
      </c>
      <c r="BD9" s="31">
        <f>BC9*AW9</f>
        <v>4032.2580645161293</v>
      </c>
      <c r="BE9" s="31">
        <f>BB9-BD9</f>
        <v>20967.741935483871</v>
      </c>
    </row>
    <row r="10" spans="4:59" ht="15.6" x14ac:dyDescent="0.3">
      <c r="D10" s="42"/>
      <c r="E10" s="42"/>
      <c r="F10" s="42"/>
      <c r="G10" s="59">
        <v>2</v>
      </c>
      <c r="H10" s="10">
        <v>1002</v>
      </c>
      <c r="I10" s="11" t="s">
        <v>4</v>
      </c>
      <c r="J10" s="49">
        <f t="shared" ref="J10:J28" si="5">COUNTIF($K$7:$AO$7,"sun")</f>
        <v>4</v>
      </c>
      <c r="K10" s="48" t="s">
        <v>40</v>
      </c>
      <c r="L10" s="48" t="s">
        <v>40</v>
      </c>
      <c r="M10" s="48" t="s">
        <v>40</v>
      </c>
      <c r="N10" s="48" t="s">
        <v>42</v>
      </c>
      <c r="O10" s="2" t="str">
        <f t="shared" si="2"/>
        <v>WO</v>
      </c>
      <c r="P10" s="48" t="s">
        <v>41</v>
      </c>
      <c r="Q10" s="48" t="s">
        <v>40</v>
      </c>
      <c r="R10" s="48" t="s">
        <v>40</v>
      </c>
      <c r="S10" s="48" t="s">
        <v>40</v>
      </c>
      <c r="T10" s="48" t="s">
        <v>42</v>
      </c>
      <c r="U10" s="48" t="s">
        <v>41</v>
      </c>
      <c r="V10" s="2" t="str">
        <f t="shared" si="2"/>
        <v>WO</v>
      </c>
      <c r="W10" s="48" t="s">
        <v>42</v>
      </c>
      <c r="X10" s="48" t="s">
        <v>42</v>
      </c>
      <c r="Y10" s="48" t="s">
        <v>40</v>
      </c>
      <c r="Z10" s="48" t="s">
        <v>40</v>
      </c>
      <c r="AA10" s="48" t="s">
        <v>40</v>
      </c>
      <c r="AB10" s="48" t="s">
        <v>40</v>
      </c>
      <c r="AC10" s="2" t="str">
        <f t="shared" si="2"/>
        <v>WO</v>
      </c>
      <c r="AD10" s="48" t="s">
        <v>41</v>
      </c>
      <c r="AE10" s="48" t="s">
        <v>40</v>
      </c>
      <c r="AF10" s="48" t="s">
        <v>40</v>
      </c>
      <c r="AG10" s="48" t="s">
        <v>40</v>
      </c>
      <c r="AH10" s="48" t="s">
        <v>40</v>
      </c>
      <c r="AI10" s="48" t="s">
        <v>40</v>
      </c>
      <c r="AJ10" s="2" t="str">
        <f t="shared" si="2"/>
        <v>WO</v>
      </c>
      <c r="AK10" s="48" t="s">
        <v>41</v>
      </c>
      <c r="AL10" s="48" t="s">
        <v>40</v>
      </c>
      <c r="AM10" s="48" t="s">
        <v>40</v>
      </c>
      <c r="AN10" s="48" t="s">
        <v>40</v>
      </c>
      <c r="AO10" s="60" t="s">
        <v>40</v>
      </c>
      <c r="AP10" s="42"/>
      <c r="AQ10" s="42"/>
      <c r="AR10" s="3">
        <v>2</v>
      </c>
      <c r="AS10" s="3">
        <v>1002</v>
      </c>
      <c r="AT10" s="3" t="str">
        <f t="shared" ref="AT10:AT28" si="6">$I$5</f>
        <v>January</v>
      </c>
      <c r="AU10" s="36" t="s">
        <v>4</v>
      </c>
      <c r="AV10">
        <f t="shared" si="3"/>
        <v>19</v>
      </c>
      <c r="AW10">
        <f t="shared" si="4"/>
        <v>4</v>
      </c>
      <c r="AX10">
        <f t="shared" ref="AX10:AX28" si="7">COUNTIF($K10:$AO10,"L")</f>
        <v>4</v>
      </c>
      <c r="AY10">
        <f t="shared" ref="AY10:AY28" si="8">$J$9</f>
        <v>4</v>
      </c>
      <c r="AZ10">
        <f t="shared" ref="AZ10:AZ28" si="9">$I$4</f>
        <v>31</v>
      </c>
      <c r="BA10">
        <f t="shared" ref="BA10:BA28" si="10">AZ10-AW10</f>
        <v>27</v>
      </c>
      <c r="BB10" s="28">
        <v>24000</v>
      </c>
      <c r="BC10" s="29">
        <f t="shared" ref="BC10:BC28" si="11">BB10/AZ10</f>
        <v>774.19354838709683</v>
      </c>
      <c r="BD10" s="28">
        <f t="shared" ref="BD10:BD28" si="12">BC10*AW10</f>
        <v>3096.7741935483873</v>
      </c>
      <c r="BE10" s="28">
        <f t="shared" ref="BE10:BE28" si="13">BB10-BD10</f>
        <v>20903.225806451614</v>
      </c>
    </row>
    <row r="11" spans="4:59" ht="15.6" x14ac:dyDescent="0.3">
      <c r="D11" s="42"/>
      <c r="E11" s="42"/>
      <c r="F11" s="42"/>
      <c r="G11" s="59">
        <v>3</v>
      </c>
      <c r="H11" s="10">
        <v>1003</v>
      </c>
      <c r="I11" s="11" t="s">
        <v>5</v>
      </c>
      <c r="J11" s="49">
        <f t="shared" si="5"/>
        <v>4</v>
      </c>
      <c r="K11" s="48" t="s">
        <v>40</v>
      </c>
      <c r="L11" s="48" t="s">
        <v>40</v>
      </c>
      <c r="M11" s="48" t="s">
        <v>40</v>
      </c>
      <c r="N11" s="48" t="s">
        <v>40</v>
      </c>
      <c r="O11" s="2" t="str">
        <f t="shared" si="2"/>
        <v>WO</v>
      </c>
      <c r="P11" s="48" t="s">
        <v>41</v>
      </c>
      <c r="Q11" s="48" t="s">
        <v>42</v>
      </c>
      <c r="R11" s="48" t="s">
        <v>40</v>
      </c>
      <c r="S11" s="48" t="s">
        <v>40</v>
      </c>
      <c r="T11" s="48" t="s">
        <v>40</v>
      </c>
      <c r="U11" s="48" t="s">
        <v>41</v>
      </c>
      <c r="V11" s="2" t="str">
        <f t="shared" si="2"/>
        <v>WO</v>
      </c>
      <c r="W11" s="48" t="s">
        <v>40</v>
      </c>
      <c r="X11" s="48" t="s">
        <v>40</v>
      </c>
      <c r="Y11" s="48" t="s">
        <v>40</v>
      </c>
      <c r="Z11" s="48" t="s">
        <v>40</v>
      </c>
      <c r="AA11" s="48" t="s">
        <v>40</v>
      </c>
      <c r="AB11" s="48" t="s">
        <v>40</v>
      </c>
      <c r="AC11" s="2" t="str">
        <f t="shared" si="2"/>
        <v>WO</v>
      </c>
      <c r="AD11" s="48" t="s">
        <v>41</v>
      </c>
      <c r="AE11" s="48" t="s">
        <v>40</v>
      </c>
      <c r="AF11" s="48" t="s">
        <v>40</v>
      </c>
      <c r="AG11" s="48" t="s">
        <v>40</v>
      </c>
      <c r="AH11" s="48" t="s">
        <v>40</v>
      </c>
      <c r="AI11" s="48" t="s">
        <v>42</v>
      </c>
      <c r="AJ11" s="2" t="str">
        <f t="shared" si="2"/>
        <v>WO</v>
      </c>
      <c r="AK11" s="48" t="s">
        <v>41</v>
      </c>
      <c r="AL11" s="48" t="s">
        <v>42</v>
      </c>
      <c r="AM11" s="48" t="s">
        <v>40</v>
      </c>
      <c r="AN11" s="48" t="s">
        <v>40</v>
      </c>
      <c r="AO11" s="60" t="s">
        <v>40</v>
      </c>
      <c r="AP11" s="42"/>
      <c r="AQ11" s="42"/>
      <c r="AR11" s="3">
        <v>3</v>
      </c>
      <c r="AS11" s="3">
        <v>1003</v>
      </c>
      <c r="AT11" s="3" t="str">
        <f t="shared" si="6"/>
        <v>January</v>
      </c>
      <c r="AU11" s="36" t="s">
        <v>5</v>
      </c>
      <c r="AV11">
        <f t="shared" si="3"/>
        <v>20</v>
      </c>
      <c r="AW11">
        <f t="shared" si="4"/>
        <v>3</v>
      </c>
      <c r="AX11">
        <f t="shared" si="7"/>
        <v>4</v>
      </c>
      <c r="AY11">
        <f t="shared" si="8"/>
        <v>4</v>
      </c>
      <c r="AZ11">
        <f t="shared" si="9"/>
        <v>31</v>
      </c>
      <c r="BA11">
        <f t="shared" si="10"/>
        <v>28</v>
      </c>
      <c r="BB11" s="28">
        <v>23000</v>
      </c>
      <c r="BC11" s="29">
        <f t="shared" si="11"/>
        <v>741.93548387096769</v>
      </c>
      <c r="BD11" s="28">
        <f t="shared" si="12"/>
        <v>2225.8064516129029</v>
      </c>
      <c r="BE11" s="28">
        <f t="shared" si="13"/>
        <v>20774.193548387098</v>
      </c>
    </row>
    <row r="12" spans="4:59" ht="15.6" x14ac:dyDescent="0.3">
      <c r="D12" s="42"/>
      <c r="E12" s="42"/>
      <c r="F12" s="42"/>
      <c r="G12" s="59">
        <v>4</v>
      </c>
      <c r="H12" s="10">
        <v>1004</v>
      </c>
      <c r="I12" s="11" t="s">
        <v>6</v>
      </c>
      <c r="J12" s="49">
        <f t="shared" si="5"/>
        <v>4</v>
      </c>
      <c r="K12" s="48" t="s">
        <v>42</v>
      </c>
      <c r="L12" s="48" t="s">
        <v>40</v>
      </c>
      <c r="M12" s="48" t="s">
        <v>40</v>
      </c>
      <c r="N12" s="48" t="s">
        <v>40</v>
      </c>
      <c r="O12" s="2" t="str">
        <f t="shared" si="2"/>
        <v>WO</v>
      </c>
      <c r="P12" s="48" t="s">
        <v>41</v>
      </c>
      <c r="Q12" s="48" t="s">
        <v>40</v>
      </c>
      <c r="R12" s="48" t="s">
        <v>40</v>
      </c>
      <c r="S12" s="48" t="s">
        <v>40</v>
      </c>
      <c r="T12" s="48" t="s">
        <v>40</v>
      </c>
      <c r="U12" s="48" t="s">
        <v>41</v>
      </c>
      <c r="V12" s="2" t="str">
        <f t="shared" si="2"/>
        <v>WO</v>
      </c>
      <c r="W12" s="48" t="s">
        <v>40</v>
      </c>
      <c r="X12" s="48" t="s">
        <v>40</v>
      </c>
      <c r="Y12" s="48" t="s">
        <v>40</v>
      </c>
      <c r="Z12" s="48" t="s">
        <v>42</v>
      </c>
      <c r="AA12" s="48" t="s">
        <v>40</v>
      </c>
      <c r="AB12" s="48" t="s">
        <v>40</v>
      </c>
      <c r="AC12" s="2" t="str">
        <f t="shared" si="2"/>
        <v>WO</v>
      </c>
      <c r="AD12" s="48" t="s">
        <v>41</v>
      </c>
      <c r="AE12" s="48" t="s">
        <v>40</v>
      </c>
      <c r="AF12" s="48" t="s">
        <v>40</v>
      </c>
      <c r="AG12" s="48" t="s">
        <v>40</v>
      </c>
      <c r="AH12" s="48" t="s">
        <v>40</v>
      </c>
      <c r="AI12" s="48" t="s">
        <v>40</v>
      </c>
      <c r="AJ12" s="2" t="str">
        <f t="shared" si="2"/>
        <v>WO</v>
      </c>
      <c r="AK12" s="48" t="s">
        <v>41</v>
      </c>
      <c r="AL12" s="48" t="s">
        <v>40</v>
      </c>
      <c r="AM12" s="48" t="s">
        <v>40</v>
      </c>
      <c r="AN12" s="48" t="s">
        <v>40</v>
      </c>
      <c r="AO12" s="60" t="s">
        <v>40</v>
      </c>
      <c r="AP12" s="42"/>
      <c r="AQ12" s="42"/>
      <c r="AR12" s="3">
        <v>4</v>
      </c>
      <c r="AS12" s="3">
        <v>1004</v>
      </c>
      <c r="AT12" s="3" t="str">
        <f t="shared" si="6"/>
        <v>January</v>
      </c>
      <c r="AU12" s="36" t="s">
        <v>6</v>
      </c>
      <c r="AV12">
        <f t="shared" si="3"/>
        <v>21</v>
      </c>
      <c r="AW12">
        <f t="shared" si="4"/>
        <v>2</v>
      </c>
      <c r="AX12">
        <f t="shared" si="7"/>
        <v>4</v>
      </c>
      <c r="AY12">
        <f t="shared" si="8"/>
        <v>4</v>
      </c>
      <c r="AZ12">
        <f t="shared" si="9"/>
        <v>31</v>
      </c>
      <c r="BA12">
        <f t="shared" si="10"/>
        <v>29</v>
      </c>
      <c r="BB12" s="28">
        <v>25000</v>
      </c>
      <c r="BC12" s="29">
        <f t="shared" si="11"/>
        <v>806.45161290322585</v>
      </c>
      <c r="BD12" s="28">
        <f t="shared" si="12"/>
        <v>1612.9032258064517</v>
      </c>
      <c r="BE12" s="28">
        <f t="shared" si="13"/>
        <v>23387.096774193549</v>
      </c>
    </row>
    <row r="13" spans="4:59" ht="15.6" x14ac:dyDescent="0.3">
      <c r="D13" s="42"/>
      <c r="E13" s="42"/>
      <c r="F13" s="42"/>
      <c r="G13" s="59">
        <v>5</v>
      </c>
      <c r="H13" s="10">
        <v>1005</v>
      </c>
      <c r="I13" s="11" t="s">
        <v>7</v>
      </c>
      <c r="J13" s="49">
        <f t="shared" si="5"/>
        <v>4</v>
      </c>
      <c r="K13" s="48" t="s">
        <v>40</v>
      </c>
      <c r="L13" s="48" t="s">
        <v>40</v>
      </c>
      <c r="M13" s="48" t="s">
        <v>40</v>
      </c>
      <c r="N13" s="48" t="s">
        <v>40</v>
      </c>
      <c r="O13" s="2" t="str">
        <f t="shared" si="2"/>
        <v>WO</v>
      </c>
      <c r="P13" s="48" t="s">
        <v>41</v>
      </c>
      <c r="Q13" s="48" t="s">
        <v>40</v>
      </c>
      <c r="R13" s="48" t="s">
        <v>40</v>
      </c>
      <c r="S13" s="48" t="s">
        <v>42</v>
      </c>
      <c r="T13" s="48" t="s">
        <v>40</v>
      </c>
      <c r="U13" s="48" t="s">
        <v>41</v>
      </c>
      <c r="V13" s="2" t="str">
        <f t="shared" si="2"/>
        <v>WO</v>
      </c>
      <c r="W13" s="48" t="s">
        <v>40</v>
      </c>
      <c r="X13" s="48" t="s">
        <v>40</v>
      </c>
      <c r="Y13" s="48" t="s">
        <v>40</v>
      </c>
      <c r="Z13" s="48" t="s">
        <v>40</v>
      </c>
      <c r="AA13" s="48" t="s">
        <v>40</v>
      </c>
      <c r="AB13" s="48" t="s">
        <v>40</v>
      </c>
      <c r="AC13" s="2" t="str">
        <f t="shared" si="2"/>
        <v>WO</v>
      </c>
      <c r="AD13" s="48" t="s">
        <v>41</v>
      </c>
      <c r="AE13" s="48" t="s">
        <v>40</v>
      </c>
      <c r="AF13" s="48" t="s">
        <v>42</v>
      </c>
      <c r="AG13" s="48" t="s">
        <v>40</v>
      </c>
      <c r="AH13" s="48" t="s">
        <v>40</v>
      </c>
      <c r="AI13" s="48" t="s">
        <v>40</v>
      </c>
      <c r="AJ13" s="2" t="str">
        <f t="shared" si="2"/>
        <v>WO</v>
      </c>
      <c r="AK13" s="48" t="s">
        <v>41</v>
      </c>
      <c r="AL13" s="48" t="s">
        <v>40</v>
      </c>
      <c r="AM13" s="48" t="s">
        <v>40</v>
      </c>
      <c r="AN13" s="48" t="s">
        <v>40</v>
      </c>
      <c r="AO13" s="60" t="s">
        <v>40</v>
      </c>
      <c r="AP13" s="42"/>
      <c r="AQ13" s="42"/>
      <c r="AR13" s="3">
        <v>5</v>
      </c>
      <c r="AS13" s="3">
        <v>1005</v>
      </c>
      <c r="AT13" s="3" t="str">
        <f t="shared" si="6"/>
        <v>January</v>
      </c>
      <c r="AU13" s="36" t="s">
        <v>7</v>
      </c>
      <c r="AV13">
        <f t="shared" si="3"/>
        <v>21</v>
      </c>
      <c r="AW13">
        <f t="shared" si="4"/>
        <v>2</v>
      </c>
      <c r="AX13">
        <f t="shared" si="7"/>
        <v>4</v>
      </c>
      <c r="AY13">
        <f t="shared" si="8"/>
        <v>4</v>
      </c>
      <c r="AZ13">
        <f t="shared" si="9"/>
        <v>31</v>
      </c>
      <c r="BA13">
        <f t="shared" si="10"/>
        <v>29</v>
      </c>
      <c r="BB13" s="28">
        <v>26000</v>
      </c>
      <c r="BC13" s="29">
        <f t="shared" si="11"/>
        <v>838.70967741935488</v>
      </c>
      <c r="BD13" s="28">
        <f t="shared" si="12"/>
        <v>1677.4193548387098</v>
      </c>
      <c r="BE13" s="28">
        <f t="shared" si="13"/>
        <v>24322.580645161292</v>
      </c>
    </row>
    <row r="14" spans="4:59" ht="15.6" x14ac:dyDescent="0.3">
      <c r="D14" s="42"/>
      <c r="E14" s="42"/>
      <c r="F14" s="42"/>
      <c r="G14" s="59">
        <v>6</v>
      </c>
      <c r="H14" s="10">
        <v>1006</v>
      </c>
      <c r="I14" s="11" t="s">
        <v>8</v>
      </c>
      <c r="J14" s="49">
        <f t="shared" si="5"/>
        <v>4</v>
      </c>
      <c r="K14" s="48" t="s">
        <v>40</v>
      </c>
      <c r="L14" s="48" t="s">
        <v>40</v>
      </c>
      <c r="M14" s="48" t="s">
        <v>40</v>
      </c>
      <c r="N14" s="48" t="s">
        <v>40</v>
      </c>
      <c r="O14" s="2" t="str">
        <f t="shared" si="2"/>
        <v>WO</v>
      </c>
      <c r="P14" s="48" t="s">
        <v>41</v>
      </c>
      <c r="Q14" s="48" t="s">
        <v>40</v>
      </c>
      <c r="R14" s="48" t="s">
        <v>40</v>
      </c>
      <c r="S14" s="48" t="s">
        <v>40</v>
      </c>
      <c r="T14" s="48" t="s">
        <v>40</v>
      </c>
      <c r="U14" s="48" t="s">
        <v>41</v>
      </c>
      <c r="V14" s="2" t="str">
        <f t="shared" si="2"/>
        <v>WO</v>
      </c>
      <c r="W14" s="48" t="s">
        <v>40</v>
      </c>
      <c r="X14" s="48" t="s">
        <v>40</v>
      </c>
      <c r="Y14" s="48" t="s">
        <v>40</v>
      </c>
      <c r="Z14" s="48" t="s">
        <v>40</v>
      </c>
      <c r="AA14" s="48" t="s">
        <v>40</v>
      </c>
      <c r="AB14" s="48" t="s">
        <v>40</v>
      </c>
      <c r="AC14" s="2" t="str">
        <f t="shared" si="2"/>
        <v>WO</v>
      </c>
      <c r="AD14" s="48" t="s">
        <v>41</v>
      </c>
      <c r="AE14" s="48" t="s">
        <v>40</v>
      </c>
      <c r="AF14" s="48" t="s">
        <v>40</v>
      </c>
      <c r="AG14" s="48" t="s">
        <v>40</v>
      </c>
      <c r="AH14" s="48" t="s">
        <v>40</v>
      </c>
      <c r="AI14" s="48" t="s">
        <v>40</v>
      </c>
      <c r="AJ14" s="2" t="str">
        <f t="shared" si="2"/>
        <v>WO</v>
      </c>
      <c r="AK14" s="48" t="s">
        <v>41</v>
      </c>
      <c r="AL14" s="48" t="s">
        <v>40</v>
      </c>
      <c r="AM14" s="48" t="s">
        <v>40</v>
      </c>
      <c r="AN14" s="48" t="s">
        <v>40</v>
      </c>
      <c r="AO14" s="60" t="s">
        <v>40</v>
      </c>
      <c r="AP14" s="42"/>
      <c r="AQ14" s="42"/>
      <c r="AR14" s="3">
        <v>6</v>
      </c>
      <c r="AS14" s="3">
        <v>1006</v>
      </c>
      <c r="AT14" s="3" t="str">
        <f t="shared" si="6"/>
        <v>January</v>
      </c>
      <c r="AU14" s="36" t="s">
        <v>8</v>
      </c>
      <c r="AV14">
        <f t="shared" si="3"/>
        <v>23</v>
      </c>
      <c r="AW14">
        <f t="shared" si="4"/>
        <v>0</v>
      </c>
      <c r="AX14">
        <f t="shared" si="7"/>
        <v>4</v>
      </c>
      <c r="AY14">
        <f t="shared" si="8"/>
        <v>4</v>
      </c>
      <c r="AZ14">
        <f t="shared" si="9"/>
        <v>31</v>
      </c>
      <c r="BA14">
        <f t="shared" si="10"/>
        <v>31</v>
      </c>
      <c r="BB14" s="28">
        <v>31000</v>
      </c>
      <c r="BC14" s="29">
        <f t="shared" si="11"/>
        <v>1000</v>
      </c>
      <c r="BD14" s="28">
        <f t="shared" si="12"/>
        <v>0</v>
      </c>
      <c r="BE14" s="28">
        <f t="shared" si="13"/>
        <v>31000</v>
      </c>
    </row>
    <row r="15" spans="4:59" ht="15.6" x14ac:dyDescent="0.3">
      <c r="D15" s="42"/>
      <c r="E15" s="42"/>
      <c r="F15" s="42"/>
      <c r="G15" s="59">
        <v>7</v>
      </c>
      <c r="H15" s="10">
        <v>1007</v>
      </c>
      <c r="I15" s="11" t="s">
        <v>9</v>
      </c>
      <c r="J15" s="49">
        <f t="shared" si="5"/>
        <v>4</v>
      </c>
      <c r="K15" s="48" t="s">
        <v>40</v>
      </c>
      <c r="L15" s="48" t="s">
        <v>40</v>
      </c>
      <c r="M15" s="48" t="s">
        <v>42</v>
      </c>
      <c r="N15" s="48" t="s">
        <v>40</v>
      </c>
      <c r="O15" s="2" t="str">
        <f t="shared" si="2"/>
        <v>WO</v>
      </c>
      <c r="P15" s="48" t="s">
        <v>41</v>
      </c>
      <c r="Q15" s="48" t="s">
        <v>40</v>
      </c>
      <c r="R15" s="48" t="s">
        <v>40</v>
      </c>
      <c r="S15" s="48" t="s">
        <v>40</v>
      </c>
      <c r="T15" s="48" t="s">
        <v>40</v>
      </c>
      <c r="U15" s="48" t="s">
        <v>41</v>
      </c>
      <c r="V15" s="2" t="str">
        <f t="shared" si="2"/>
        <v>WO</v>
      </c>
      <c r="W15" s="48" t="s">
        <v>40</v>
      </c>
      <c r="X15" s="48" t="s">
        <v>42</v>
      </c>
      <c r="Y15" s="48" t="s">
        <v>40</v>
      </c>
      <c r="Z15" s="48" t="s">
        <v>40</v>
      </c>
      <c r="AA15" s="48" t="s">
        <v>40</v>
      </c>
      <c r="AB15" s="48" t="s">
        <v>40</v>
      </c>
      <c r="AC15" s="2" t="str">
        <f t="shared" si="2"/>
        <v>WO</v>
      </c>
      <c r="AD15" s="48" t="s">
        <v>41</v>
      </c>
      <c r="AE15" s="48" t="s">
        <v>40</v>
      </c>
      <c r="AF15" s="48" t="s">
        <v>40</v>
      </c>
      <c r="AG15" s="48" t="s">
        <v>40</v>
      </c>
      <c r="AH15" s="48" t="s">
        <v>40</v>
      </c>
      <c r="AI15" s="48" t="s">
        <v>40</v>
      </c>
      <c r="AJ15" s="2" t="str">
        <f t="shared" si="2"/>
        <v>WO</v>
      </c>
      <c r="AK15" s="48" t="s">
        <v>41</v>
      </c>
      <c r="AL15" s="48" t="s">
        <v>40</v>
      </c>
      <c r="AM15" s="48" t="s">
        <v>40</v>
      </c>
      <c r="AN15" s="48" t="s">
        <v>40</v>
      </c>
      <c r="AO15" s="60" t="s">
        <v>40</v>
      </c>
      <c r="AP15" s="42"/>
      <c r="AQ15" s="42"/>
      <c r="AR15" s="3">
        <v>7</v>
      </c>
      <c r="AS15" s="3">
        <v>1007</v>
      </c>
      <c r="AT15" s="3" t="str">
        <f t="shared" si="6"/>
        <v>January</v>
      </c>
      <c r="AU15" s="36" t="s">
        <v>9</v>
      </c>
      <c r="AV15">
        <f t="shared" si="3"/>
        <v>21</v>
      </c>
      <c r="AW15">
        <f t="shared" si="4"/>
        <v>2</v>
      </c>
      <c r="AX15">
        <f t="shared" si="7"/>
        <v>4</v>
      </c>
      <c r="AY15">
        <f t="shared" si="8"/>
        <v>4</v>
      </c>
      <c r="AZ15">
        <f t="shared" si="9"/>
        <v>31</v>
      </c>
      <c r="BA15">
        <f t="shared" si="10"/>
        <v>29</v>
      </c>
      <c r="BB15" s="28">
        <v>28000</v>
      </c>
      <c r="BC15" s="29">
        <f t="shared" si="11"/>
        <v>903.22580645161293</v>
      </c>
      <c r="BD15" s="28">
        <f t="shared" si="12"/>
        <v>1806.4516129032259</v>
      </c>
      <c r="BE15" s="28">
        <f t="shared" si="13"/>
        <v>26193.548387096773</v>
      </c>
    </row>
    <row r="16" spans="4:59" ht="15.6" x14ac:dyDescent="0.3">
      <c r="D16" s="42"/>
      <c r="E16" s="42"/>
      <c r="F16" s="42"/>
      <c r="G16" s="59">
        <v>8</v>
      </c>
      <c r="H16" s="10">
        <v>1008</v>
      </c>
      <c r="I16" s="11" t="s">
        <v>10</v>
      </c>
      <c r="J16" s="49">
        <f t="shared" si="5"/>
        <v>4</v>
      </c>
      <c r="K16" s="48" t="s">
        <v>40</v>
      </c>
      <c r="L16" s="48" t="s">
        <v>40</v>
      </c>
      <c r="M16" s="48" t="s">
        <v>40</v>
      </c>
      <c r="N16" s="48" t="s">
        <v>40</v>
      </c>
      <c r="O16" s="2" t="str">
        <f t="shared" si="2"/>
        <v>WO</v>
      </c>
      <c r="P16" s="48" t="s">
        <v>41</v>
      </c>
      <c r="Q16" s="48" t="s">
        <v>40</v>
      </c>
      <c r="R16" s="48" t="s">
        <v>42</v>
      </c>
      <c r="S16" s="48" t="s">
        <v>40</v>
      </c>
      <c r="T16" s="48" t="s">
        <v>40</v>
      </c>
      <c r="U16" s="48" t="s">
        <v>41</v>
      </c>
      <c r="V16" s="2" t="str">
        <f t="shared" si="2"/>
        <v>WO</v>
      </c>
      <c r="W16" s="48" t="s">
        <v>40</v>
      </c>
      <c r="X16" s="48" t="s">
        <v>40</v>
      </c>
      <c r="Y16" s="48" t="s">
        <v>40</v>
      </c>
      <c r="Z16" s="48" t="s">
        <v>40</v>
      </c>
      <c r="AA16" s="48" t="s">
        <v>40</v>
      </c>
      <c r="AB16" s="48" t="s">
        <v>40</v>
      </c>
      <c r="AC16" s="2" t="str">
        <f t="shared" si="2"/>
        <v>WO</v>
      </c>
      <c r="AD16" s="48" t="s">
        <v>41</v>
      </c>
      <c r="AE16" s="48" t="s">
        <v>40</v>
      </c>
      <c r="AF16" s="48" t="s">
        <v>40</v>
      </c>
      <c r="AG16" s="48" t="s">
        <v>42</v>
      </c>
      <c r="AH16" s="48" t="s">
        <v>40</v>
      </c>
      <c r="AI16" s="48" t="s">
        <v>40</v>
      </c>
      <c r="AJ16" s="2" t="str">
        <f t="shared" si="2"/>
        <v>WO</v>
      </c>
      <c r="AK16" s="48" t="s">
        <v>41</v>
      </c>
      <c r="AL16" s="48" t="s">
        <v>40</v>
      </c>
      <c r="AM16" s="48" t="s">
        <v>40</v>
      </c>
      <c r="AN16" s="48" t="s">
        <v>40</v>
      </c>
      <c r="AO16" s="60" t="s">
        <v>40</v>
      </c>
      <c r="AP16" s="42"/>
      <c r="AQ16" s="42"/>
      <c r="AR16" s="3">
        <v>8</v>
      </c>
      <c r="AS16" s="3">
        <v>1008</v>
      </c>
      <c r="AT16" s="3" t="str">
        <f t="shared" si="6"/>
        <v>January</v>
      </c>
      <c r="AU16" s="36" t="s">
        <v>10</v>
      </c>
      <c r="AV16">
        <f t="shared" si="3"/>
        <v>21</v>
      </c>
      <c r="AW16">
        <f t="shared" si="4"/>
        <v>2</v>
      </c>
      <c r="AX16">
        <f t="shared" si="7"/>
        <v>4</v>
      </c>
      <c r="AY16">
        <f t="shared" si="8"/>
        <v>4</v>
      </c>
      <c r="AZ16">
        <f t="shared" si="9"/>
        <v>31</v>
      </c>
      <c r="BA16">
        <f t="shared" si="10"/>
        <v>29</v>
      </c>
      <c r="BB16" s="28">
        <v>29000</v>
      </c>
      <c r="BC16" s="29">
        <f t="shared" si="11"/>
        <v>935.48387096774195</v>
      </c>
      <c r="BD16" s="28">
        <f t="shared" si="12"/>
        <v>1870.9677419354839</v>
      </c>
      <c r="BE16" s="28">
        <f t="shared" si="13"/>
        <v>27129.032258064515</v>
      </c>
    </row>
    <row r="17" spans="4:59" ht="15.6" x14ac:dyDescent="0.3">
      <c r="D17" s="42"/>
      <c r="E17" s="42"/>
      <c r="F17" s="42"/>
      <c r="G17" s="59">
        <v>9</v>
      </c>
      <c r="H17" s="10">
        <v>1009</v>
      </c>
      <c r="I17" s="11" t="s">
        <v>11</v>
      </c>
      <c r="J17" s="49">
        <f t="shared" si="5"/>
        <v>4</v>
      </c>
      <c r="K17" s="48" t="s">
        <v>40</v>
      </c>
      <c r="L17" s="48" t="s">
        <v>42</v>
      </c>
      <c r="M17" s="48" t="s">
        <v>40</v>
      </c>
      <c r="N17" s="48" t="s">
        <v>40</v>
      </c>
      <c r="O17" s="2" t="str">
        <f t="shared" si="2"/>
        <v>WO</v>
      </c>
      <c r="P17" s="48" t="s">
        <v>41</v>
      </c>
      <c r="Q17" s="48" t="s">
        <v>40</v>
      </c>
      <c r="R17" s="48" t="s">
        <v>40</v>
      </c>
      <c r="S17" s="48" t="s">
        <v>40</v>
      </c>
      <c r="T17" s="48" t="s">
        <v>40</v>
      </c>
      <c r="U17" s="48" t="s">
        <v>41</v>
      </c>
      <c r="V17" s="2" t="str">
        <f t="shared" si="2"/>
        <v>WO</v>
      </c>
      <c r="W17" s="48" t="s">
        <v>40</v>
      </c>
      <c r="X17" s="48" t="s">
        <v>40</v>
      </c>
      <c r="Y17" s="48" t="s">
        <v>40</v>
      </c>
      <c r="Z17" s="48" t="s">
        <v>42</v>
      </c>
      <c r="AA17" s="48" t="s">
        <v>40</v>
      </c>
      <c r="AB17" s="48" t="s">
        <v>40</v>
      </c>
      <c r="AC17" s="2" t="str">
        <f t="shared" ref="AC17:AJ28" si="14">IF(AC$7="sun","WO","")</f>
        <v>WO</v>
      </c>
      <c r="AD17" s="48" t="s">
        <v>41</v>
      </c>
      <c r="AE17" s="48" t="s">
        <v>40</v>
      </c>
      <c r="AF17" s="48" t="s">
        <v>40</v>
      </c>
      <c r="AG17" s="48" t="s">
        <v>40</v>
      </c>
      <c r="AH17" s="48" t="s">
        <v>40</v>
      </c>
      <c r="AI17" s="48" t="s">
        <v>40</v>
      </c>
      <c r="AJ17" s="2" t="str">
        <f t="shared" si="14"/>
        <v>WO</v>
      </c>
      <c r="AK17" s="48" t="s">
        <v>41</v>
      </c>
      <c r="AL17" s="48" t="s">
        <v>40</v>
      </c>
      <c r="AM17" s="48" t="s">
        <v>40</v>
      </c>
      <c r="AN17" s="48" t="s">
        <v>40</v>
      </c>
      <c r="AO17" s="60" t="s">
        <v>40</v>
      </c>
      <c r="AP17" s="42"/>
      <c r="AQ17" s="42"/>
      <c r="AR17" s="3">
        <v>9</v>
      </c>
      <c r="AS17" s="3">
        <v>1009</v>
      </c>
      <c r="AT17" s="3" t="str">
        <f t="shared" si="6"/>
        <v>January</v>
      </c>
      <c r="AU17" s="36" t="s">
        <v>11</v>
      </c>
      <c r="AV17">
        <f t="shared" si="3"/>
        <v>21</v>
      </c>
      <c r="AW17">
        <f t="shared" si="4"/>
        <v>2</v>
      </c>
      <c r="AX17">
        <f t="shared" si="7"/>
        <v>4</v>
      </c>
      <c r="AY17">
        <f t="shared" si="8"/>
        <v>4</v>
      </c>
      <c r="AZ17">
        <f t="shared" si="9"/>
        <v>31</v>
      </c>
      <c r="BA17">
        <f t="shared" si="10"/>
        <v>29</v>
      </c>
      <c r="BB17" s="28">
        <v>32000</v>
      </c>
      <c r="BC17" s="29">
        <f t="shared" si="11"/>
        <v>1032.258064516129</v>
      </c>
      <c r="BD17" s="28">
        <f t="shared" si="12"/>
        <v>2064.516129032258</v>
      </c>
      <c r="BE17" s="28">
        <f t="shared" si="13"/>
        <v>29935.483870967742</v>
      </c>
    </row>
    <row r="18" spans="4:59" ht="15.6" x14ac:dyDescent="0.3">
      <c r="D18" s="42"/>
      <c r="E18" s="42"/>
      <c r="F18" s="42"/>
      <c r="G18" s="59">
        <v>10</v>
      </c>
      <c r="H18" s="10">
        <v>1010</v>
      </c>
      <c r="I18" s="11" t="s">
        <v>12</v>
      </c>
      <c r="J18" s="49">
        <f t="shared" si="5"/>
        <v>4</v>
      </c>
      <c r="K18" s="48" t="s">
        <v>40</v>
      </c>
      <c r="L18" s="48" t="s">
        <v>40</v>
      </c>
      <c r="M18" s="48" t="s">
        <v>40</v>
      </c>
      <c r="N18" s="48" t="s">
        <v>40</v>
      </c>
      <c r="O18" s="2" t="str">
        <f t="shared" ref="O18:V28" si="15">IF(O$7="sun","WO","")</f>
        <v>WO</v>
      </c>
      <c r="P18" s="48" t="s">
        <v>41</v>
      </c>
      <c r="Q18" s="48" t="s">
        <v>40</v>
      </c>
      <c r="R18" s="48" t="s">
        <v>40</v>
      </c>
      <c r="S18" s="48" t="s">
        <v>40</v>
      </c>
      <c r="T18" s="48" t="s">
        <v>40</v>
      </c>
      <c r="U18" s="48" t="s">
        <v>41</v>
      </c>
      <c r="V18" s="2" t="str">
        <f t="shared" si="15"/>
        <v>WO</v>
      </c>
      <c r="W18" s="48" t="s">
        <v>40</v>
      </c>
      <c r="X18" s="48" t="s">
        <v>40</v>
      </c>
      <c r="Y18" s="48" t="s">
        <v>40</v>
      </c>
      <c r="Z18" s="48" t="s">
        <v>40</v>
      </c>
      <c r="AA18" s="48" t="s">
        <v>40</v>
      </c>
      <c r="AB18" s="48" t="s">
        <v>40</v>
      </c>
      <c r="AC18" s="2" t="str">
        <f t="shared" si="14"/>
        <v>WO</v>
      </c>
      <c r="AD18" s="48" t="s">
        <v>41</v>
      </c>
      <c r="AE18" s="48" t="s">
        <v>40</v>
      </c>
      <c r="AF18" s="48" t="s">
        <v>40</v>
      </c>
      <c r="AG18" s="48" t="s">
        <v>40</v>
      </c>
      <c r="AH18" s="48" t="s">
        <v>40</v>
      </c>
      <c r="AI18" s="48" t="s">
        <v>40</v>
      </c>
      <c r="AJ18" s="2" t="str">
        <f t="shared" si="14"/>
        <v>WO</v>
      </c>
      <c r="AK18" s="48" t="s">
        <v>41</v>
      </c>
      <c r="AL18" s="48" t="s">
        <v>40</v>
      </c>
      <c r="AM18" s="48" t="s">
        <v>40</v>
      </c>
      <c r="AN18" s="48" t="s">
        <v>40</v>
      </c>
      <c r="AO18" s="60" t="s">
        <v>40</v>
      </c>
      <c r="AP18" s="42"/>
      <c r="AQ18" s="42"/>
      <c r="AR18" s="3">
        <v>10</v>
      </c>
      <c r="AS18" s="3">
        <v>1010</v>
      </c>
      <c r="AT18" s="3" t="str">
        <f t="shared" si="6"/>
        <v>January</v>
      </c>
      <c r="AU18" s="36" t="s">
        <v>12</v>
      </c>
      <c r="AV18">
        <f t="shared" si="3"/>
        <v>23</v>
      </c>
      <c r="AW18">
        <f t="shared" si="4"/>
        <v>0</v>
      </c>
      <c r="AX18">
        <f t="shared" si="7"/>
        <v>4</v>
      </c>
      <c r="AY18">
        <f t="shared" si="8"/>
        <v>4</v>
      </c>
      <c r="AZ18">
        <f t="shared" si="9"/>
        <v>31</v>
      </c>
      <c r="BA18">
        <f t="shared" si="10"/>
        <v>31</v>
      </c>
      <c r="BB18" s="28">
        <v>35000</v>
      </c>
      <c r="BC18" s="29">
        <f t="shared" si="11"/>
        <v>1129.0322580645161</v>
      </c>
      <c r="BD18" s="28">
        <f t="shared" si="12"/>
        <v>0</v>
      </c>
      <c r="BE18" s="28">
        <f t="shared" si="13"/>
        <v>35000</v>
      </c>
    </row>
    <row r="19" spans="4:59" ht="15.6" x14ac:dyDescent="0.3">
      <c r="D19" s="42"/>
      <c r="E19" s="42"/>
      <c r="F19" s="42"/>
      <c r="G19" s="59">
        <v>11</v>
      </c>
      <c r="H19" s="10">
        <v>1011</v>
      </c>
      <c r="I19" s="11" t="s">
        <v>13</v>
      </c>
      <c r="J19" s="49">
        <f t="shared" si="5"/>
        <v>4</v>
      </c>
      <c r="K19" s="48" t="s">
        <v>40</v>
      </c>
      <c r="L19" s="48" t="s">
        <v>40</v>
      </c>
      <c r="M19" s="48" t="s">
        <v>40</v>
      </c>
      <c r="N19" s="48" t="s">
        <v>42</v>
      </c>
      <c r="O19" s="2" t="str">
        <f t="shared" si="15"/>
        <v>WO</v>
      </c>
      <c r="P19" s="48" t="s">
        <v>41</v>
      </c>
      <c r="Q19" s="48" t="s">
        <v>40</v>
      </c>
      <c r="R19" s="48" t="s">
        <v>40</v>
      </c>
      <c r="S19" s="48" t="s">
        <v>40</v>
      </c>
      <c r="T19" s="48" t="s">
        <v>42</v>
      </c>
      <c r="U19" s="48" t="s">
        <v>41</v>
      </c>
      <c r="V19" s="2" t="str">
        <f t="shared" si="15"/>
        <v>WO</v>
      </c>
      <c r="W19" s="48" t="s">
        <v>40</v>
      </c>
      <c r="X19" s="48" t="s">
        <v>40</v>
      </c>
      <c r="Y19" s="48" t="s">
        <v>40</v>
      </c>
      <c r="Z19" s="48" t="s">
        <v>40</v>
      </c>
      <c r="AA19" s="48" t="s">
        <v>42</v>
      </c>
      <c r="AB19" s="48" t="s">
        <v>40</v>
      </c>
      <c r="AC19" s="2" t="str">
        <f t="shared" si="14"/>
        <v>WO</v>
      </c>
      <c r="AD19" s="48" t="s">
        <v>41</v>
      </c>
      <c r="AE19" s="48" t="s">
        <v>40</v>
      </c>
      <c r="AF19" s="48" t="s">
        <v>40</v>
      </c>
      <c r="AG19" s="48" t="s">
        <v>40</v>
      </c>
      <c r="AH19" s="48" t="s">
        <v>40</v>
      </c>
      <c r="AI19" s="48" t="s">
        <v>40</v>
      </c>
      <c r="AJ19" s="2" t="str">
        <f t="shared" si="14"/>
        <v>WO</v>
      </c>
      <c r="AK19" s="48" t="s">
        <v>41</v>
      </c>
      <c r="AL19" s="48" t="s">
        <v>40</v>
      </c>
      <c r="AM19" s="48" t="s">
        <v>42</v>
      </c>
      <c r="AN19" s="48" t="s">
        <v>40</v>
      </c>
      <c r="AO19" s="60" t="s">
        <v>40</v>
      </c>
      <c r="AP19" s="42"/>
      <c r="AQ19" s="42"/>
      <c r="AR19" s="3">
        <v>11</v>
      </c>
      <c r="AS19" s="3">
        <v>1011</v>
      </c>
      <c r="AT19" s="3" t="str">
        <f t="shared" si="6"/>
        <v>January</v>
      </c>
      <c r="AU19" s="36" t="s">
        <v>13</v>
      </c>
      <c r="AV19">
        <f t="shared" si="3"/>
        <v>19</v>
      </c>
      <c r="AW19">
        <f t="shared" si="4"/>
        <v>4</v>
      </c>
      <c r="AX19">
        <f t="shared" si="7"/>
        <v>4</v>
      </c>
      <c r="AY19">
        <f t="shared" si="8"/>
        <v>4</v>
      </c>
      <c r="AZ19">
        <f t="shared" si="9"/>
        <v>31</v>
      </c>
      <c r="BA19">
        <f t="shared" si="10"/>
        <v>27</v>
      </c>
      <c r="BB19" s="28">
        <v>50000</v>
      </c>
      <c r="BC19" s="29">
        <f t="shared" si="11"/>
        <v>1612.9032258064517</v>
      </c>
      <c r="BD19" s="28">
        <f t="shared" si="12"/>
        <v>6451.6129032258068</v>
      </c>
      <c r="BE19" s="28">
        <f t="shared" si="13"/>
        <v>43548.387096774197</v>
      </c>
    </row>
    <row r="20" spans="4:59" ht="15.6" x14ac:dyDescent="0.3">
      <c r="D20" s="42"/>
      <c r="E20" s="42"/>
      <c r="F20" s="42"/>
      <c r="G20" s="59">
        <v>12</v>
      </c>
      <c r="H20" s="10">
        <v>1012</v>
      </c>
      <c r="I20" s="11" t="s">
        <v>14</v>
      </c>
      <c r="J20" s="49">
        <f t="shared" si="5"/>
        <v>4</v>
      </c>
      <c r="K20" s="48" t="s">
        <v>40</v>
      </c>
      <c r="L20" s="48" t="s">
        <v>40</v>
      </c>
      <c r="M20" s="48" t="s">
        <v>40</v>
      </c>
      <c r="N20" s="48" t="s">
        <v>40</v>
      </c>
      <c r="O20" s="2" t="str">
        <f t="shared" si="15"/>
        <v>WO</v>
      </c>
      <c r="P20" s="48" t="s">
        <v>41</v>
      </c>
      <c r="Q20" s="48" t="s">
        <v>40</v>
      </c>
      <c r="R20" s="48" t="s">
        <v>40</v>
      </c>
      <c r="S20" s="48" t="s">
        <v>40</v>
      </c>
      <c r="T20" s="48" t="s">
        <v>40</v>
      </c>
      <c r="U20" s="48" t="s">
        <v>41</v>
      </c>
      <c r="V20" s="2" t="str">
        <f t="shared" si="15"/>
        <v>WO</v>
      </c>
      <c r="W20" s="48" t="s">
        <v>42</v>
      </c>
      <c r="X20" s="48" t="s">
        <v>40</v>
      </c>
      <c r="Y20" s="48" t="s">
        <v>40</v>
      </c>
      <c r="Z20" s="48" t="s">
        <v>40</v>
      </c>
      <c r="AA20" s="48" t="s">
        <v>40</v>
      </c>
      <c r="AB20" s="48" t="s">
        <v>40</v>
      </c>
      <c r="AC20" s="2" t="str">
        <f t="shared" si="14"/>
        <v>WO</v>
      </c>
      <c r="AD20" s="48" t="s">
        <v>41</v>
      </c>
      <c r="AE20" s="48" t="s">
        <v>40</v>
      </c>
      <c r="AF20" s="48" t="s">
        <v>42</v>
      </c>
      <c r="AG20" s="48" t="s">
        <v>40</v>
      </c>
      <c r="AH20" s="48" t="s">
        <v>40</v>
      </c>
      <c r="AI20" s="48" t="s">
        <v>40</v>
      </c>
      <c r="AJ20" s="2" t="str">
        <f t="shared" si="14"/>
        <v>WO</v>
      </c>
      <c r="AK20" s="48" t="s">
        <v>41</v>
      </c>
      <c r="AL20" s="48" t="s">
        <v>40</v>
      </c>
      <c r="AM20" s="48" t="s">
        <v>40</v>
      </c>
      <c r="AN20" s="48" t="s">
        <v>40</v>
      </c>
      <c r="AO20" s="60" t="s">
        <v>40</v>
      </c>
      <c r="AP20" s="42"/>
      <c r="AQ20" s="42"/>
      <c r="AR20" s="3">
        <v>12</v>
      </c>
      <c r="AS20" s="3">
        <v>1012</v>
      </c>
      <c r="AT20" s="3" t="str">
        <f t="shared" si="6"/>
        <v>January</v>
      </c>
      <c r="AU20" s="36" t="s">
        <v>14</v>
      </c>
      <c r="AV20">
        <f t="shared" si="3"/>
        <v>21</v>
      </c>
      <c r="AW20">
        <f t="shared" si="4"/>
        <v>2</v>
      </c>
      <c r="AX20">
        <f t="shared" si="7"/>
        <v>4</v>
      </c>
      <c r="AY20">
        <f t="shared" si="8"/>
        <v>4</v>
      </c>
      <c r="AZ20">
        <f t="shared" si="9"/>
        <v>31</v>
      </c>
      <c r="BA20">
        <f t="shared" si="10"/>
        <v>29</v>
      </c>
      <c r="BB20" s="28">
        <v>29000</v>
      </c>
      <c r="BC20" s="29">
        <f t="shared" si="11"/>
        <v>935.48387096774195</v>
      </c>
      <c r="BD20" s="28">
        <f t="shared" si="12"/>
        <v>1870.9677419354839</v>
      </c>
      <c r="BE20" s="28">
        <f t="shared" si="13"/>
        <v>27129.032258064515</v>
      </c>
    </row>
    <row r="21" spans="4:59" ht="15.6" x14ac:dyDescent="0.3">
      <c r="D21" s="42"/>
      <c r="E21" s="42"/>
      <c r="F21" s="42"/>
      <c r="G21" s="59">
        <v>13</v>
      </c>
      <c r="H21" s="10">
        <v>1013</v>
      </c>
      <c r="I21" s="11" t="s">
        <v>15</v>
      </c>
      <c r="J21" s="49">
        <f t="shared" si="5"/>
        <v>4</v>
      </c>
      <c r="K21" s="48" t="s">
        <v>40</v>
      </c>
      <c r="L21" s="48" t="s">
        <v>40</v>
      </c>
      <c r="M21" s="48" t="s">
        <v>40</v>
      </c>
      <c r="N21" s="48" t="s">
        <v>40</v>
      </c>
      <c r="O21" s="2" t="str">
        <f t="shared" si="15"/>
        <v>WO</v>
      </c>
      <c r="P21" s="48" t="s">
        <v>41</v>
      </c>
      <c r="Q21" s="48" t="s">
        <v>40</v>
      </c>
      <c r="R21" s="48" t="s">
        <v>40</v>
      </c>
      <c r="S21" s="48" t="s">
        <v>40</v>
      </c>
      <c r="T21" s="48" t="s">
        <v>40</v>
      </c>
      <c r="U21" s="48" t="s">
        <v>41</v>
      </c>
      <c r="V21" s="2" t="str">
        <f t="shared" si="15"/>
        <v>WO</v>
      </c>
      <c r="W21" s="48" t="s">
        <v>40</v>
      </c>
      <c r="X21" s="48" t="s">
        <v>40</v>
      </c>
      <c r="Y21" s="48" t="s">
        <v>40</v>
      </c>
      <c r="Z21" s="48" t="s">
        <v>40</v>
      </c>
      <c r="AA21" s="48" t="s">
        <v>40</v>
      </c>
      <c r="AB21" s="48" t="s">
        <v>40</v>
      </c>
      <c r="AC21" s="2" t="str">
        <f t="shared" si="14"/>
        <v>WO</v>
      </c>
      <c r="AD21" s="48" t="s">
        <v>41</v>
      </c>
      <c r="AE21" s="48" t="s">
        <v>40</v>
      </c>
      <c r="AF21" s="48" t="s">
        <v>40</v>
      </c>
      <c r="AG21" s="48" t="s">
        <v>40</v>
      </c>
      <c r="AH21" s="48" t="s">
        <v>40</v>
      </c>
      <c r="AI21" s="48" t="s">
        <v>42</v>
      </c>
      <c r="AJ21" s="2" t="str">
        <f t="shared" si="14"/>
        <v>WO</v>
      </c>
      <c r="AK21" s="48" t="s">
        <v>41</v>
      </c>
      <c r="AL21" s="48" t="s">
        <v>40</v>
      </c>
      <c r="AM21" s="48" t="s">
        <v>40</v>
      </c>
      <c r="AN21" s="48" t="s">
        <v>40</v>
      </c>
      <c r="AO21" s="60" t="s">
        <v>40</v>
      </c>
      <c r="AP21" s="42"/>
      <c r="AQ21" s="42"/>
      <c r="AR21" s="3">
        <v>13</v>
      </c>
      <c r="AS21" s="3">
        <v>1013</v>
      </c>
      <c r="AT21" s="3" t="str">
        <f t="shared" si="6"/>
        <v>January</v>
      </c>
      <c r="AU21" s="36" t="s">
        <v>15</v>
      </c>
      <c r="AV21">
        <f t="shared" si="3"/>
        <v>22</v>
      </c>
      <c r="AW21">
        <f t="shared" si="4"/>
        <v>1</v>
      </c>
      <c r="AX21">
        <f t="shared" si="7"/>
        <v>4</v>
      </c>
      <c r="AY21">
        <f t="shared" si="8"/>
        <v>4</v>
      </c>
      <c r="AZ21">
        <f t="shared" si="9"/>
        <v>31</v>
      </c>
      <c r="BA21">
        <f t="shared" si="10"/>
        <v>30</v>
      </c>
      <c r="BB21" s="28">
        <v>37000</v>
      </c>
      <c r="BC21" s="29">
        <f t="shared" si="11"/>
        <v>1193.5483870967741</v>
      </c>
      <c r="BD21" s="28">
        <f t="shared" si="12"/>
        <v>1193.5483870967741</v>
      </c>
      <c r="BE21" s="28">
        <f t="shared" si="13"/>
        <v>35806.451612903227</v>
      </c>
    </row>
    <row r="22" spans="4:59" ht="15.6" x14ac:dyDescent="0.3">
      <c r="D22" s="42"/>
      <c r="E22" s="42"/>
      <c r="F22" s="42"/>
      <c r="G22" s="59">
        <v>14</v>
      </c>
      <c r="H22" s="10">
        <v>1014</v>
      </c>
      <c r="I22" s="11" t="s">
        <v>16</v>
      </c>
      <c r="J22" s="49">
        <f t="shared" si="5"/>
        <v>4</v>
      </c>
      <c r="K22" s="48" t="s">
        <v>40</v>
      </c>
      <c r="L22" s="48" t="s">
        <v>42</v>
      </c>
      <c r="M22" s="48" t="s">
        <v>40</v>
      </c>
      <c r="N22" s="48" t="s">
        <v>40</v>
      </c>
      <c r="O22" s="2" t="str">
        <f t="shared" si="15"/>
        <v>WO</v>
      </c>
      <c r="P22" s="48" t="s">
        <v>41</v>
      </c>
      <c r="Q22" s="48" t="s">
        <v>40</v>
      </c>
      <c r="R22" s="48" t="s">
        <v>42</v>
      </c>
      <c r="S22" s="48" t="s">
        <v>40</v>
      </c>
      <c r="T22" s="48" t="s">
        <v>40</v>
      </c>
      <c r="U22" s="48" t="s">
        <v>41</v>
      </c>
      <c r="V22" s="2" t="str">
        <f t="shared" si="15"/>
        <v>WO</v>
      </c>
      <c r="W22" s="48" t="s">
        <v>40</v>
      </c>
      <c r="X22" s="48" t="s">
        <v>40</v>
      </c>
      <c r="Y22" s="48" t="s">
        <v>40</v>
      </c>
      <c r="Z22" s="48" t="s">
        <v>40</v>
      </c>
      <c r="AA22" s="48" t="s">
        <v>40</v>
      </c>
      <c r="AB22" s="48" t="s">
        <v>42</v>
      </c>
      <c r="AC22" s="2" t="str">
        <f t="shared" si="14"/>
        <v>WO</v>
      </c>
      <c r="AD22" s="48" t="s">
        <v>41</v>
      </c>
      <c r="AE22" s="48" t="s">
        <v>40</v>
      </c>
      <c r="AF22" s="48" t="s">
        <v>40</v>
      </c>
      <c r="AG22" s="48" t="s">
        <v>40</v>
      </c>
      <c r="AH22" s="48" t="s">
        <v>40</v>
      </c>
      <c r="AI22" s="48" t="s">
        <v>40</v>
      </c>
      <c r="AJ22" s="2" t="str">
        <f t="shared" si="14"/>
        <v>WO</v>
      </c>
      <c r="AK22" s="48" t="s">
        <v>41</v>
      </c>
      <c r="AL22" s="48" t="s">
        <v>40</v>
      </c>
      <c r="AM22" s="48" t="s">
        <v>40</v>
      </c>
      <c r="AN22" s="48" t="s">
        <v>40</v>
      </c>
      <c r="AO22" s="60" t="s">
        <v>40</v>
      </c>
      <c r="AP22" s="42"/>
      <c r="AQ22" s="42"/>
      <c r="AR22" s="3">
        <v>14</v>
      </c>
      <c r="AS22" s="3">
        <v>1014</v>
      </c>
      <c r="AT22" s="3" t="str">
        <f t="shared" si="6"/>
        <v>January</v>
      </c>
      <c r="AU22" s="36" t="s">
        <v>16</v>
      </c>
      <c r="AV22">
        <f t="shared" si="3"/>
        <v>20</v>
      </c>
      <c r="AW22">
        <f t="shared" si="4"/>
        <v>3</v>
      </c>
      <c r="AX22">
        <f t="shared" si="7"/>
        <v>4</v>
      </c>
      <c r="AY22">
        <f t="shared" si="8"/>
        <v>4</v>
      </c>
      <c r="AZ22">
        <f t="shared" si="9"/>
        <v>31</v>
      </c>
      <c r="BA22">
        <f t="shared" si="10"/>
        <v>28</v>
      </c>
      <c r="BB22" s="28">
        <v>41000</v>
      </c>
      <c r="BC22" s="29">
        <f t="shared" si="11"/>
        <v>1322.5806451612902</v>
      </c>
      <c r="BD22" s="28">
        <f t="shared" si="12"/>
        <v>3967.7419354838707</v>
      </c>
      <c r="BE22" s="28">
        <f t="shared" si="13"/>
        <v>37032.258064516129</v>
      </c>
    </row>
    <row r="23" spans="4:59" ht="15.6" x14ac:dyDescent="0.3">
      <c r="D23" s="42"/>
      <c r="E23" s="42"/>
      <c r="F23" s="42"/>
      <c r="G23" s="59">
        <v>15</v>
      </c>
      <c r="H23" s="10">
        <v>1015</v>
      </c>
      <c r="I23" s="11" t="s">
        <v>17</v>
      </c>
      <c r="J23" s="49">
        <f t="shared" si="5"/>
        <v>4</v>
      </c>
      <c r="K23" s="48" t="s">
        <v>40</v>
      </c>
      <c r="L23" s="48" t="s">
        <v>40</v>
      </c>
      <c r="M23" s="48" t="s">
        <v>40</v>
      </c>
      <c r="N23" s="48" t="s">
        <v>40</v>
      </c>
      <c r="O23" s="2" t="str">
        <f t="shared" si="15"/>
        <v>WO</v>
      </c>
      <c r="P23" s="48" t="s">
        <v>41</v>
      </c>
      <c r="Q23" s="48" t="s">
        <v>40</v>
      </c>
      <c r="R23" s="48" t="s">
        <v>40</v>
      </c>
      <c r="S23" s="48" t="s">
        <v>40</v>
      </c>
      <c r="T23" s="48" t="s">
        <v>40</v>
      </c>
      <c r="U23" s="48" t="s">
        <v>41</v>
      </c>
      <c r="V23" s="2" t="str">
        <f t="shared" si="15"/>
        <v>WO</v>
      </c>
      <c r="W23" s="48" t="s">
        <v>40</v>
      </c>
      <c r="X23" s="48" t="s">
        <v>40</v>
      </c>
      <c r="Y23" s="48" t="s">
        <v>42</v>
      </c>
      <c r="Z23" s="48" t="s">
        <v>40</v>
      </c>
      <c r="AA23" s="48" t="s">
        <v>40</v>
      </c>
      <c r="AB23" s="48" t="s">
        <v>40</v>
      </c>
      <c r="AC23" s="2" t="str">
        <f t="shared" si="14"/>
        <v>WO</v>
      </c>
      <c r="AD23" s="48" t="s">
        <v>41</v>
      </c>
      <c r="AE23" s="48" t="s">
        <v>40</v>
      </c>
      <c r="AF23" s="48" t="s">
        <v>40</v>
      </c>
      <c r="AG23" s="48" t="s">
        <v>40</v>
      </c>
      <c r="AH23" s="48" t="s">
        <v>40</v>
      </c>
      <c r="AI23" s="48" t="s">
        <v>40</v>
      </c>
      <c r="AJ23" s="2" t="str">
        <f t="shared" si="14"/>
        <v>WO</v>
      </c>
      <c r="AK23" s="48" t="s">
        <v>41</v>
      </c>
      <c r="AL23" s="48" t="s">
        <v>40</v>
      </c>
      <c r="AM23" s="48" t="s">
        <v>40</v>
      </c>
      <c r="AN23" s="48" t="s">
        <v>40</v>
      </c>
      <c r="AO23" s="60" t="s">
        <v>40</v>
      </c>
      <c r="AP23" s="42"/>
      <c r="AQ23" s="42"/>
      <c r="AR23" s="3">
        <v>15</v>
      </c>
      <c r="AS23" s="3">
        <v>1015</v>
      </c>
      <c r="AT23" s="3" t="str">
        <f t="shared" si="6"/>
        <v>January</v>
      </c>
      <c r="AU23" s="36" t="s">
        <v>17</v>
      </c>
      <c r="AV23">
        <f t="shared" si="3"/>
        <v>22</v>
      </c>
      <c r="AW23">
        <f t="shared" si="4"/>
        <v>1</v>
      </c>
      <c r="AX23">
        <f t="shared" si="7"/>
        <v>4</v>
      </c>
      <c r="AY23">
        <f t="shared" si="8"/>
        <v>4</v>
      </c>
      <c r="AZ23">
        <f t="shared" si="9"/>
        <v>31</v>
      </c>
      <c r="BA23">
        <f t="shared" si="10"/>
        <v>30</v>
      </c>
      <c r="BB23" s="28">
        <v>45000</v>
      </c>
      <c r="BC23" s="29">
        <f t="shared" si="11"/>
        <v>1451.6129032258063</v>
      </c>
      <c r="BD23" s="28">
        <f t="shared" si="12"/>
        <v>1451.6129032258063</v>
      </c>
      <c r="BE23" s="28">
        <f t="shared" si="13"/>
        <v>43548.387096774197</v>
      </c>
    </row>
    <row r="24" spans="4:59" ht="15.6" x14ac:dyDescent="0.3">
      <c r="D24" s="42"/>
      <c r="E24" s="42"/>
      <c r="F24" s="42"/>
      <c r="G24" s="59">
        <v>16</v>
      </c>
      <c r="H24" s="10">
        <v>1016</v>
      </c>
      <c r="I24" s="11" t="s">
        <v>18</v>
      </c>
      <c r="J24" s="49">
        <f t="shared" si="5"/>
        <v>4</v>
      </c>
      <c r="K24" s="48" t="s">
        <v>40</v>
      </c>
      <c r="L24" s="48" t="s">
        <v>40</v>
      </c>
      <c r="M24" s="48" t="s">
        <v>40</v>
      </c>
      <c r="N24" s="48" t="s">
        <v>40</v>
      </c>
      <c r="O24" s="2" t="str">
        <f t="shared" si="15"/>
        <v>WO</v>
      </c>
      <c r="P24" s="48" t="s">
        <v>41</v>
      </c>
      <c r="Q24" s="48" t="s">
        <v>40</v>
      </c>
      <c r="R24" s="48" t="s">
        <v>40</v>
      </c>
      <c r="S24" s="48" t="s">
        <v>40</v>
      </c>
      <c r="T24" s="48" t="s">
        <v>40</v>
      </c>
      <c r="U24" s="48" t="s">
        <v>41</v>
      </c>
      <c r="V24" s="2" t="str">
        <f t="shared" si="15"/>
        <v>WO</v>
      </c>
      <c r="W24" s="48" t="s">
        <v>40</v>
      </c>
      <c r="X24" s="48" t="s">
        <v>40</v>
      </c>
      <c r="Y24" s="48" t="s">
        <v>40</v>
      </c>
      <c r="Z24" s="48" t="s">
        <v>40</v>
      </c>
      <c r="AA24" s="48" t="s">
        <v>40</v>
      </c>
      <c r="AB24" s="48" t="s">
        <v>40</v>
      </c>
      <c r="AC24" s="2" t="str">
        <f t="shared" si="14"/>
        <v>WO</v>
      </c>
      <c r="AD24" s="48" t="s">
        <v>41</v>
      </c>
      <c r="AE24" s="48" t="s">
        <v>40</v>
      </c>
      <c r="AF24" s="48" t="s">
        <v>42</v>
      </c>
      <c r="AG24" s="48" t="s">
        <v>40</v>
      </c>
      <c r="AH24" s="48" t="s">
        <v>40</v>
      </c>
      <c r="AI24" s="48" t="s">
        <v>40</v>
      </c>
      <c r="AJ24" s="2" t="str">
        <f t="shared" si="14"/>
        <v>WO</v>
      </c>
      <c r="AK24" s="48" t="s">
        <v>41</v>
      </c>
      <c r="AL24" s="48" t="s">
        <v>40</v>
      </c>
      <c r="AM24" s="48" t="s">
        <v>40</v>
      </c>
      <c r="AN24" s="48" t="s">
        <v>40</v>
      </c>
      <c r="AO24" s="60" t="s">
        <v>40</v>
      </c>
      <c r="AP24" s="42"/>
      <c r="AQ24" s="42"/>
      <c r="AR24" s="3">
        <v>16</v>
      </c>
      <c r="AS24" s="3">
        <v>1016</v>
      </c>
      <c r="AT24" s="3" t="str">
        <f t="shared" si="6"/>
        <v>January</v>
      </c>
      <c r="AU24" s="36" t="s">
        <v>18</v>
      </c>
      <c r="AV24">
        <f t="shared" si="3"/>
        <v>22</v>
      </c>
      <c r="AW24">
        <f t="shared" si="4"/>
        <v>1</v>
      </c>
      <c r="AX24">
        <f t="shared" si="7"/>
        <v>4</v>
      </c>
      <c r="AY24">
        <f t="shared" si="8"/>
        <v>4</v>
      </c>
      <c r="AZ24">
        <f t="shared" si="9"/>
        <v>31</v>
      </c>
      <c r="BA24">
        <f t="shared" si="10"/>
        <v>30</v>
      </c>
      <c r="BB24" s="28">
        <v>21000</v>
      </c>
      <c r="BC24" s="29">
        <f t="shared" si="11"/>
        <v>677.41935483870964</v>
      </c>
      <c r="BD24" s="28">
        <f t="shared" si="12"/>
        <v>677.41935483870964</v>
      </c>
      <c r="BE24" s="28">
        <f t="shared" si="13"/>
        <v>20322.580645161292</v>
      </c>
    </row>
    <row r="25" spans="4:59" ht="15.6" x14ac:dyDescent="0.3">
      <c r="D25" s="42"/>
      <c r="E25" s="42"/>
      <c r="F25" s="42"/>
      <c r="G25" s="59">
        <v>17</v>
      </c>
      <c r="H25" s="10">
        <v>1017</v>
      </c>
      <c r="I25" s="11" t="s">
        <v>19</v>
      </c>
      <c r="J25" s="49">
        <f t="shared" si="5"/>
        <v>4</v>
      </c>
      <c r="K25" s="48" t="s">
        <v>40</v>
      </c>
      <c r="L25" s="48" t="s">
        <v>40</v>
      </c>
      <c r="M25" s="48" t="s">
        <v>40</v>
      </c>
      <c r="N25" s="48" t="s">
        <v>40</v>
      </c>
      <c r="O25" s="2" t="str">
        <f t="shared" si="15"/>
        <v>WO</v>
      </c>
      <c r="P25" s="48" t="s">
        <v>41</v>
      </c>
      <c r="Q25" s="48" t="s">
        <v>42</v>
      </c>
      <c r="R25" s="48" t="s">
        <v>40</v>
      </c>
      <c r="S25" s="48" t="s">
        <v>40</v>
      </c>
      <c r="T25" s="48" t="s">
        <v>40</v>
      </c>
      <c r="U25" s="48" t="s">
        <v>41</v>
      </c>
      <c r="V25" s="2" t="str">
        <f t="shared" si="15"/>
        <v>WO</v>
      </c>
      <c r="W25" s="48" t="s">
        <v>40</v>
      </c>
      <c r="X25" s="48" t="s">
        <v>40</v>
      </c>
      <c r="Y25" s="48" t="s">
        <v>42</v>
      </c>
      <c r="Z25" s="48" t="s">
        <v>40</v>
      </c>
      <c r="AA25" s="48" t="s">
        <v>40</v>
      </c>
      <c r="AB25" s="48" t="s">
        <v>40</v>
      </c>
      <c r="AC25" s="2" t="str">
        <f t="shared" si="14"/>
        <v>WO</v>
      </c>
      <c r="AD25" s="48" t="s">
        <v>41</v>
      </c>
      <c r="AE25" s="48" t="s">
        <v>40</v>
      </c>
      <c r="AF25" s="48" t="s">
        <v>40</v>
      </c>
      <c r="AG25" s="48" t="s">
        <v>40</v>
      </c>
      <c r="AH25" s="48" t="s">
        <v>40</v>
      </c>
      <c r="AI25" s="48" t="s">
        <v>40</v>
      </c>
      <c r="AJ25" s="2" t="str">
        <f t="shared" si="14"/>
        <v>WO</v>
      </c>
      <c r="AK25" s="48" t="s">
        <v>41</v>
      </c>
      <c r="AL25" s="48" t="s">
        <v>40</v>
      </c>
      <c r="AM25" s="48" t="s">
        <v>40</v>
      </c>
      <c r="AN25" s="48" t="s">
        <v>40</v>
      </c>
      <c r="AO25" s="60" t="s">
        <v>40</v>
      </c>
      <c r="AP25" s="42"/>
      <c r="AQ25" s="42"/>
      <c r="AR25" s="3">
        <v>17</v>
      </c>
      <c r="AS25" s="3">
        <v>1017</v>
      </c>
      <c r="AT25" s="3" t="str">
        <f t="shared" si="6"/>
        <v>January</v>
      </c>
      <c r="AU25" s="36" t="s">
        <v>19</v>
      </c>
      <c r="AV25">
        <f t="shared" si="3"/>
        <v>21</v>
      </c>
      <c r="AW25">
        <f t="shared" si="4"/>
        <v>2</v>
      </c>
      <c r="AX25">
        <f t="shared" si="7"/>
        <v>4</v>
      </c>
      <c r="AY25">
        <f t="shared" si="8"/>
        <v>4</v>
      </c>
      <c r="AZ25">
        <f t="shared" si="9"/>
        <v>31</v>
      </c>
      <c r="BA25">
        <f t="shared" si="10"/>
        <v>29</v>
      </c>
      <c r="BB25" s="28">
        <v>26000</v>
      </c>
      <c r="BC25" s="29">
        <f t="shared" si="11"/>
        <v>838.70967741935488</v>
      </c>
      <c r="BD25" s="28">
        <f t="shared" si="12"/>
        <v>1677.4193548387098</v>
      </c>
      <c r="BE25" s="28">
        <f t="shared" si="13"/>
        <v>24322.580645161292</v>
      </c>
    </row>
    <row r="26" spans="4:59" ht="15.6" x14ac:dyDescent="0.3">
      <c r="D26" s="42"/>
      <c r="E26" s="42"/>
      <c r="F26" s="42"/>
      <c r="G26" s="59">
        <v>18</v>
      </c>
      <c r="H26" s="10">
        <v>1018</v>
      </c>
      <c r="I26" s="11" t="s">
        <v>20</v>
      </c>
      <c r="J26" s="49">
        <f t="shared" si="5"/>
        <v>4</v>
      </c>
      <c r="K26" s="48" t="s">
        <v>40</v>
      </c>
      <c r="L26" s="48" t="s">
        <v>40</v>
      </c>
      <c r="M26" s="48" t="s">
        <v>40</v>
      </c>
      <c r="N26" s="48" t="s">
        <v>40</v>
      </c>
      <c r="O26" s="2" t="str">
        <f t="shared" si="15"/>
        <v>WO</v>
      </c>
      <c r="P26" s="48" t="s">
        <v>41</v>
      </c>
      <c r="Q26" s="48" t="s">
        <v>40</v>
      </c>
      <c r="R26" s="48" t="s">
        <v>40</v>
      </c>
      <c r="S26" s="48" t="s">
        <v>40</v>
      </c>
      <c r="T26" s="48" t="s">
        <v>40</v>
      </c>
      <c r="U26" s="48" t="s">
        <v>41</v>
      </c>
      <c r="V26" s="2" t="str">
        <f t="shared" si="15"/>
        <v>WO</v>
      </c>
      <c r="W26" s="48" t="s">
        <v>42</v>
      </c>
      <c r="X26" s="48" t="s">
        <v>40</v>
      </c>
      <c r="Y26" s="48" t="s">
        <v>40</v>
      </c>
      <c r="Z26" s="48" t="s">
        <v>40</v>
      </c>
      <c r="AA26" s="48" t="s">
        <v>40</v>
      </c>
      <c r="AB26" s="48" t="s">
        <v>40</v>
      </c>
      <c r="AC26" s="2" t="str">
        <f t="shared" si="14"/>
        <v>WO</v>
      </c>
      <c r="AD26" s="48" t="s">
        <v>41</v>
      </c>
      <c r="AE26" s="48" t="s">
        <v>40</v>
      </c>
      <c r="AF26" s="48" t="s">
        <v>40</v>
      </c>
      <c r="AG26" s="48" t="s">
        <v>40</v>
      </c>
      <c r="AH26" s="48" t="s">
        <v>42</v>
      </c>
      <c r="AI26" s="48" t="s">
        <v>40</v>
      </c>
      <c r="AJ26" s="2" t="str">
        <f t="shared" si="14"/>
        <v>WO</v>
      </c>
      <c r="AK26" s="48" t="s">
        <v>41</v>
      </c>
      <c r="AL26" s="48" t="s">
        <v>40</v>
      </c>
      <c r="AM26" s="48" t="s">
        <v>42</v>
      </c>
      <c r="AN26" s="48" t="s">
        <v>40</v>
      </c>
      <c r="AO26" s="60" t="s">
        <v>40</v>
      </c>
      <c r="AP26" s="42"/>
      <c r="AQ26" s="42"/>
      <c r="AR26" s="3">
        <v>18</v>
      </c>
      <c r="AS26" s="3">
        <v>1018</v>
      </c>
      <c r="AT26" s="3" t="str">
        <f t="shared" si="6"/>
        <v>January</v>
      </c>
      <c r="AU26" s="36" t="s">
        <v>20</v>
      </c>
      <c r="AV26">
        <f t="shared" si="3"/>
        <v>20</v>
      </c>
      <c r="AW26">
        <f t="shared" si="4"/>
        <v>3</v>
      </c>
      <c r="AX26">
        <f t="shared" si="7"/>
        <v>4</v>
      </c>
      <c r="AY26">
        <f t="shared" si="8"/>
        <v>4</v>
      </c>
      <c r="AZ26">
        <f t="shared" si="9"/>
        <v>31</v>
      </c>
      <c r="BA26">
        <f t="shared" si="10"/>
        <v>28</v>
      </c>
      <c r="BB26" s="28">
        <v>35000</v>
      </c>
      <c r="BC26" s="29">
        <f t="shared" si="11"/>
        <v>1129.0322580645161</v>
      </c>
      <c r="BD26" s="28">
        <f t="shared" si="12"/>
        <v>3387.0967741935483</v>
      </c>
      <c r="BE26" s="28">
        <f t="shared" si="13"/>
        <v>31612.903225806451</v>
      </c>
    </row>
    <row r="27" spans="4:59" ht="15.6" x14ac:dyDescent="0.3">
      <c r="D27" s="42"/>
      <c r="E27" s="42"/>
      <c r="F27" s="42"/>
      <c r="G27" s="59">
        <v>19</v>
      </c>
      <c r="H27" s="10">
        <v>1019</v>
      </c>
      <c r="I27" s="11" t="s">
        <v>21</v>
      </c>
      <c r="J27" s="49">
        <f t="shared" si="5"/>
        <v>4</v>
      </c>
      <c r="K27" s="48" t="s">
        <v>40</v>
      </c>
      <c r="L27" s="48" t="s">
        <v>40</v>
      </c>
      <c r="M27" s="48" t="s">
        <v>40</v>
      </c>
      <c r="N27" s="48" t="s">
        <v>40</v>
      </c>
      <c r="O27" s="2" t="str">
        <f t="shared" si="15"/>
        <v>WO</v>
      </c>
      <c r="P27" s="48" t="s">
        <v>41</v>
      </c>
      <c r="Q27" s="48" t="s">
        <v>40</v>
      </c>
      <c r="R27" s="48" t="s">
        <v>40</v>
      </c>
      <c r="S27" s="48" t="s">
        <v>42</v>
      </c>
      <c r="T27" s="48" t="s">
        <v>40</v>
      </c>
      <c r="U27" s="48" t="s">
        <v>41</v>
      </c>
      <c r="V27" s="2" t="str">
        <f t="shared" si="15"/>
        <v>WO</v>
      </c>
      <c r="W27" s="48" t="s">
        <v>40</v>
      </c>
      <c r="X27" s="48" t="s">
        <v>40</v>
      </c>
      <c r="Y27" s="48" t="s">
        <v>40</v>
      </c>
      <c r="Z27" s="48" t="s">
        <v>42</v>
      </c>
      <c r="AA27" s="48" t="s">
        <v>40</v>
      </c>
      <c r="AB27" s="48" t="s">
        <v>40</v>
      </c>
      <c r="AC27" s="2" t="str">
        <f t="shared" si="14"/>
        <v>WO</v>
      </c>
      <c r="AD27" s="48" t="s">
        <v>41</v>
      </c>
      <c r="AE27" s="48" t="s">
        <v>40</v>
      </c>
      <c r="AF27" s="48" t="s">
        <v>42</v>
      </c>
      <c r="AG27" s="48" t="s">
        <v>40</v>
      </c>
      <c r="AH27" s="48" t="s">
        <v>40</v>
      </c>
      <c r="AI27" s="48" t="s">
        <v>40</v>
      </c>
      <c r="AJ27" s="2" t="str">
        <f t="shared" si="14"/>
        <v>WO</v>
      </c>
      <c r="AK27" s="48" t="s">
        <v>41</v>
      </c>
      <c r="AL27" s="48" t="s">
        <v>40</v>
      </c>
      <c r="AM27" s="48" t="s">
        <v>40</v>
      </c>
      <c r="AN27" s="48" t="s">
        <v>40</v>
      </c>
      <c r="AO27" s="60" t="s">
        <v>40</v>
      </c>
      <c r="AP27" s="42"/>
      <c r="AQ27" s="42"/>
      <c r="AR27" s="3">
        <v>19</v>
      </c>
      <c r="AS27" s="3">
        <v>1019</v>
      </c>
      <c r="AT27" s="3" t="str">
        <f t="shared" si="6"/>
        <v>January</v>
      </c>
      <c r="AU27" s="36" t="s">
        <v>21</v>
      </c>
      <c r="AV27">
        <f t="shared" si="3"/>
        <v>20</v>
      </c>
      <c r="AW27">
        <f t="shared" si="4"/>
        <v>3</v>
      </c>
      <c r="AX27">
        <f t="shared" si="7"/>
        <v>4</v>
      </c>
      <c r="AY27">
        <f t="shared" si="8"/>
        <v>4</v>
      </c>
      <c r="AZ27">
        <f t="shared" si="9"/>
        <v>31</v>
      </c>
      <c r="BA27">
        <f t="shared" si="10"/>
        <v>28</v>
      </c>
      <c r="BB27" s="28">
        <v>55000</v>
      </c>
      <c r="BC27" s="29">
        <f t="shared" si="11"/>
        <v>1774.1935483870968</v>
      </c>
      <c r="BD27" s="28">
        <f t="shared" si="12"/>
        <v>5322.5806451612907</v>
      </c>
      <c r="BE27" s="28">
        <f t="shared" si="13"/>
        <v>49677.419354838712</v>
      </c>
    </row>
    <row r="28" spans="4:59" ht="16.2" thickBot="1" x14ac:dyDescent="0.35">
      <c r="D28" s="42"/>
      <c r="E28" s="42"/>
      <c r="F28" s="42"/>
      <c r="G28" s="61">
        <v>20</v>
      </c>
      <c r="H28" s="62">
        <v>1020</v>
      </c>
      <c r="I28" s="63" t="s">
        <v>22</v>
      </c>
      <c r="J28" s="64">
        <f t="shared" si="5"/>
        <v>4</v>
      </c>
      <c r="K28" s="65" t="s">
        <v>40</v>
      </c>
      <c r="L28" s="65" t="s">
        <v>40</v>
      </c>
      <c r="M28" s="65" t="s">
        <v>40</v>
      </c>
      <c r="N28" s="65" t="s">
        <v>40</v>
      </c>
      <c r="O28" s="66" t="str">
        <f t="shared" si="15"/>
        <v>WO</v>
      </c>
      <c r="P28" s="65" t="s">
        <v>41</v>
      </c>
      <c r="Q28" s="65" t="s">
        <v>40</v>
      </c>
      <c r="R28" s="65" t="s">
        <v>40</v>
      </c>
      <c r="S28" s="65" t="s">
        <v>40</v>
      </c>
      <c r="T28" s="65" t="s">
        <v>40</v>
      </c>
      <c r="U28" s="65" t="s">
        <v>41</v>
      </c>
      <c r="V28" s="66" t="str">
        <f t="shared" si="15"/>
        <v>WO</v>
      </c>
      <c r="W28" s="65" t="s">
        <v>40</v>
      </c>
      <c r="X28" s="65" t="s">
        <v>40</v>
      </c>
      <c r="Y28" s="65" t="s">
        <v>40</v>
      </c>
      <c r="Z28" s="65" t="s">
        <v>40</v>
      </c>
      <c r="AA28" s="65" t="s">
        <v>42</v>
      </c>
      <c r="AB28" s="65" t="s">
        <v>40</v>
      </c>
      <c r="AC28" s="66" t="str">
        <f t="shared" si="14"/>
        <v>WO</v>
      </c>
      <c r="AD28" s="65" t="s">
        <v>41</v>
      </c>
      <c r="AE28" s="65" t="s">
        <v>40</v>
      </c>
      <c r="AF28" s="65" t="s">
        <v>40</v>
      </c>
      <c r="AG28" s="65" t="s">
        <v>40</v>
      </c>
      <c r="AH28" s="65" t="s">
        <v>40</v>
      </c>
      <c r="AI28" s="65" t="s">
        <v>40</v>
      </c>
      <c r="AJ28" s="66" t="str">
        <f t="shared" si="14"/>
        <v>WO</v>
      </c>
      <c r="AK28" s="65" t="s">
        <v>41</v>
      </c>
      <c r="AL28" s="65" t="s">
        <v>40</v>
      </c>
      <c r="AM28" s="65" t="s">
        <v>40</v>
      </c>
      <c r="AN28" s="65" t="s">
        <v>40</v>
      </c>
      <c r="AO28" s="67" t="s">
        <v>40</v>
      </c>
      <c r="AP28" s="42"/>
      <c r="AQ28" s="42"/>
      <c r="AR28" s="37">
        <v>20</v>
      </c>
      <c r="AS28" s="37">
        <v>1020</v>
      </c>
      <c r="AT28" s="37" t="str">
        <f t="shared" si="6"/>
        <v>January</v>
      </c>
      <c r="AU28" s="38" t="s">
        <v>22</v>
      </c>
      <c r="AV28" s="33">
        <f t="shared" si="3"/>
        <v>22</v>
      </c>
      <c r="AW28" s="33">
        <f t="shared" si="4"/>
        <v>1</v>
      </c>
      <c r="AX28" s="33">
        <f t="shared" si="7"/>
        <v>4</v>
      </c>
      <c r="AY28" s="33">
        <f t="shared" si="8"/>
        <v>4</v>
      </c>
      <c r="AZ28" s="33">
        <f t="shared" si="9"/>
        <v>31</v>
      </c>
      <c r="BA28" s="33">
        <f t="shared" si="10"/>
        <v>30</v>
      </c>
      <c r="BB28" s="34">
        <v>44000</v>
      </c>
      <c r="BC28" s="35">
        <f t="shared" si="11"/>
        <v>1419.3548387096773</v>
      </c>
      <c r="BD28" s="34">
        <f t="shared" si="12"/>
        <v>1419.3548387096773</v>
      </c>
      <c r="BE28" s="34">
        <f t="shared" si="13"/>
        <v>42580.645161290326</v>
      </c>
    </row>
    <row r="29" spans="4:59" x14ac:dyDescent="0.3"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</row>
    <row r="30" spans="4:59" x14ac:dyDescent="0.3"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</row>
    <row r="31" spans="4:59" x14ac:dyDescent="0.3"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</row>
    <row r="32" spans="4:59" x14ac:dyDescent="0.3"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</row>
    <row r="33" spans="4:59" x14ac:dyDescent="0.3"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</row>
    <row r="34" spans="4:59" x14ac:dyDescent="0.3"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4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</row>
    <row r="35" spans="4:59" x14ac:dyDescent="0.3"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</row>
    <row r="36" spans="4:59" x14ac:dyDescent="0.3"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</row>
    <row r="37" spans="4:59" x14ac:dyDescent="0.3"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</row>
    <row r="38" spans="4:59" x14ac:dyDescent="0.3"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</row>
    <row r="39" spans="4:59" x14ac:dyDescent="0.3"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</row>
    <row r="40" spans="4:59" x14ac:dyDescent="0.3"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</row>
    <row r="41" spans="4:59" x14ac:dyDescent="0.3"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</row>
    <row r="42" spans="4:59" x14ac:dyDescent="0.3"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</row>
    <row r="43" spans="4:59" x14ac:dyDescent="0.3"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</row>
    <row r="44" spans="4:59" x14ac:dyDescent="0.3"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</row>
  </sheetData>
  <mergeCells count="1">
    <mergeCell ref="G7:I7"/>
  </mergeCells>
  <conditionalFormatting sqref="K9:AO28">
    <cfRule type="containsText" dxfId="47" priority="1" operator="containsText" text="L">
      <formula>NOT(ISERROR(SEARCH("L",K9)))</formula>
    </cfRule>
    <cfRule type="containsText" dxfId="46" priority="2" operator="containsText" text="A">
      <formula>NOT(ISERROR(SEARCH("A",K9)))</formula>
    </cfRule>
    <cfRule type="containsText" dxfId="45" priority="3" operator="containsText" text="P">
      <formula>NOT(ISERROR(SEARCH("P",K9)))</formula>
    </cfRule>
    <cfRule type="containsText" dxfId="44" priority="4" operator="containsText" text="WO">
      <formula>NOT(ISERROR(SEARCH("WO",K9)))</formula>
    </cfRule>
  </conditionalFormatting>
  <dataValidations count="1">
    <dataValidation type="list" allowBlank="1" showInputMessage="1" showErrorMessage="1" sqref="K9:N28 AD9:AI28 P9:U28 AK9:AO28 W9:AB28" xr:uid="{040588DA-98C1-4EC1-93FF-A9332A0852B5}">
      <formula1>"P ,A 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67ED1CB-13A5-4B4E-B17A-7848DCEB2135}">
          <x14:formula1>
            <xm:f>Rough!$A$1:$A$12</xm:f>
          </x14:formula1>
          <xm:sqref>H5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A0F38-78DC-49D2-9C9F-9F90EDD538E3}">
  <dimension ref="D1:BG44"/>
  <sheetViews>
    <sheetView topLeftCell="J1" zoomScaleNormal="100" workbookViewId="0">
      <selection activeCell="AR12" sqref="AR12"/>
    </sheetView>
  </sheetViews>
  <sheetFormatPr defaultRowHeight="14.4" x14ac:dyDescent="0.3"/>
  <cols>
    <col min="7" max="7" width="9.6640625" customWidth="1"/>
    <col min="8" max="8" width="14.88671875" customWidth="1"/>
    <col min="9" max="9" width="20.21875" customWidth="1"/>
    <col min="10" max="10" width="10.109375" customWidth="1"/>
    <col min="11" max="11" width="4.21875" bestFit="1" customWidth="1"/>
    <col min="12" max="12" width="4.88671875" bestFit="1" customWidth="1"/>
    <col min="13" max="13" width="5.21875" bestFit="1" customWidth="1"/>
    <col min="14" max="14" width="4.77734375" bestFit="1" customWidth="1"/>
    <col min="15" max="15" width="5.44140625" bestFit="1" customWidth="1"/>
    <col min="16" max="16" width="4.88671875" bestFit="1" customWidth="1"/>
    <col min="17" max="17" width="4" bestFit="1" customWidth="1"/>
    <col min="18" max="18" width="4.21875" bestFit="1" customWidth="1"/>
    <col min="19" max="19" width="4.88671875" bestFit="1" customWidth="1"/>
    <col min="20" max="20" width="5.21875" bestFit="1" customWidth="1"/>
    <col min="21" max="21" width="4.77734375" bestFit="1" customWidth="1"/>
    <col min="22" max="22" width="5.44140625" bestFit="1" customWidth="1"/>
    <col min="23" max="23" width="4.88671875" bestFit="1" customWidth="1"/>
    <col min="24" max="24" width="4" bestFit="1" customWidth="1"/>
    <col min="25" max="25" width="4.21875" bestFit="1" customWidth="1"/>
    <col min="26" max="26" width="4.88671875" bestFit="1" customWidth="1"/>
    <col min="27" max="27" width="5.21875" bestFit="1" customWidth="1"/>
    <col min="28" max="28" width="4.77734375" bestFit="1" customWidth="1"/>
    <col min="29" max="29" width="5.44140625" bestFit="1" customWidth="1"/>
    <col min="30" max="30" width="4.88671875" bestFit="1" customWidth="1"/>
    <col min="31" max="31" width="4" bestFit="1" customWidth="1"/>
    <col min="32" max="32" width="4.21875" bestFit="1" customWidth="1"/>
    <col min="33" max="33" width="4.88671875" bestFit="1" customWidth="1"/>
    <col min="34" max="34" width="5.21875" bestFit="1" customWidth="1"/>
    <col min="35" max="35" width="4.77734375" bestFit="1" customWidth="1"/>
    <col min="36" max="36" width="5.44140625" bestFit="1" customWidth="1"/>
    <col min="37" max="37" width="4.88671875" bestFit="1" customWidth="1"/>
    <col min="38" max="38" width="4" bestFit="1" customWidth="1"/>
    <col min="39" max="39" width="5.77734375" bestFit="1" customWidth="1"/>
    <col min="40" max="40" width="5.21875" bestFit="1" customWidth="1"/>
    <col min="41" max="41" width="3.77734375" bestFit="1" customWidth="1"/>
    <col min="44" max="44" width="7" customWidth="1"/>
    <col min="45" max="45" width="15.33203125" customWidth="1"/>
    <col min="46" max="46" width="12.5546875" customWidth="1"/>
    <col min="47" max="47" width="19" bestFit="1" customWidth="1"/>
    <col min="48" max="49" width="10.109375" customWidth="1"/>
    <col min="51" max="51" width="11.109375" customWidth="1"/>
    <col min="53" max="53" width="12.5546875" customWidth="1"/>
    <col min="54" max="54" width="12" bestFit="1" customWidth="1"/>
    <col min="55" max="55" width="16.77734375" customWidth="1"/>
    <col min="56" max="56" width="12.5546875" customWidth="1"/>
    <col min="57" max="57" width="14.44140625" customWidth="1"/>
  </cols>
  <sheetData>
    <row r="1" spans="4:59" x14ac:dyDescent="0.3">
      <c r="AQ1" s="42"/>
    </row>
    <row r="2" spans="4:59" x14ac:dyDescent="0.3">
      <c r="AQ2" s="42"/>
    </row>
    <row r="3" spans="4:59" x14ac:dyDescent="0.3">
      <c r="AQ3" s="42"/>
    </row>
    <row r="4" spans="4:59" x14ac:dyDescent="0.3">
      <c r="D4" s="42"/>
      <c r="E4" s="42"/>
      <c r="F4" s="42"/>
      <c r="G4" s="68"/>
      <c r="H4" s="68"/>
      <c r="I4" s="68">
        <f>(DATEDIF($H$5,$H$6,"D")+1)</f>
        <v>28</v>
      </c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</row>
    <row r="5" spans="4:59" x14ac:dyDescent="0.3">
      <c r="D5" s="42"/>
      <c r="E5" s="42"/>
      <c r="F5" s="42"/>
      <c r="G5" s="68" t="s">
        <v>26</v>
      </c>
      <c r="H5" s="69">
        <v>45689</v>
      </c>
      <c r="I5" s="68" t="str">
        <f>TEXT(H5,"MMMM")</f>
        <v>February</v>
      </c>
      <c r="J5" s="42"/>
      <c r="K5" s="42"/>
      <c r="L5" s="42"/>
      <c r="M5" s="43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</row>
    <row r="6" spans="4:59" x14ac:dyDescent="0.3">
      <c r="D6" s="42"/>
      <c r="E6" s="42"/>
      <c r="F6" s="42"/>
      <c r="G6" s="68" t="s">
        <v>27</v>
      </c>
      <c r="H6" s="69">
        <f>EOMONTH(H5,0)</f>
        <v>45716</v>
      </c>
      <c r="I6" s="68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</row>
    <row r="7" spans="4:59" ht="15.6" x14ac:dyDescent="0.3">
      <c r="D7" s="42"/>
      <c r="E7" s="42"/>
      <c r="F7" s="42"/>
      <c r="G7" s="85" t="s">
        <v>29</v>
      </c>
      <c r="H7" s="85"/>
      <c r="I7" s="85"/>
      <c r="J7" s="5" t="s">
        <v>28</v>
      </c>
      <c r="K7" s="5" t="str">
        <f>TEXT(K8,"DDD")</f>
        <v>Sat</v>
      </c>
      <c r="L7" s="5" t="str">
        <f t="shared" ref="L7:AO7" si="0">TEXT(L8,"DDD")</f>
        <v>Sun</v>
      </c>
      <c r="M7" s="5" t="str">
        <f t="shared" si="0"/>
        <v>Mon</v>
      </c>
      <c r="N7" s="5" t="str">
        <f t="shared" si="0"/>
        <v>Tue</v>
      </c>
      <c r="O7" s="5" t="str">
        <f t="shared" si="0"/>
        <v>Wed</v>
      </c>
      <c r="P7" s="5" t="str">
        <f t="shared" si="0"/>
        <v>Thu</v>
      </c>
      <c r="Q7" s="5" t="str">
        <f t="shared" si="0"/>
        <v>Fri</v>
      </c>
      <c r="R7" s="5" t="str">
        <f t="shared" si="0"/>
        <v>Sat</v>
      </c>
      <c r="S7" s="5" t="str">
        <f t="shared" si="0"/>
        <v>Sun</v>
      </c>
      <c r="T7" s="5" t="str">
        <f t="shared" si="0"/>
        <v>Mon</v>
      </c>
      <c r="U7" s="5" t="str">
        <f t="shared" si="0"/>
        <v>Tue</v>
      </c>
      <c r="V7" s="5" t="str">
        <f t="shared" si="0"/>
        <v>Wed</v>
      </c>
      <c r="W7" s="5" t="str">
        <f t="shared" si="0"/>
        <v>Thu</v>
      </c>
      <c r="X7" s="5" t="str">
        <f t="shared" si="0"/>
        <v>Fri</v>
      </c>
      <c r="Y7" s="5" t="str">
        <f t="shared" si="0"/>
        <v>Sat</v>
      </c>
      <c r="Z7" s="5" t="str">
        <f t="shared" si="0"/>
        <v>Sun</v>
      </c>
      <c r="AA7" s="5" t="str">
        <f t="shared" si="0"/>
        <v>Mon</v>
      </c>
      <c r="AB7" s="5" t="str">
        <f t="shared" si="0"/>
        <v>Tue</v>
      </c>
      <c r="AC7" s="5" t="str">
        <f t="shared" si="0"/>
        <v>Wed</v>
      </c>
      <c r="AD7" s="5" t="str">
        <f t="shared" si="0"/>
        <v>Thu</v>
      </c>
      <c r="AE7" s="5" t="str">
        <f t="shared" si="0"/>
        <v>Fri</v>
      </c>
      <c r="AF7" s="5" t="str">
        <f t="shared" si="0"/>
        <v>Sat</v>
      </c>
      <c r="AG7" s="5" t="str">
        <f t="shared" si="0"/>
        <v>Sun</v>
      </c>
      <c r="AH7" s="5" t="str">
        <f t="shared" si="0"/>
        <v>Mon</v>
      </c>
      <c r="AI7" s="5" t="str">
        <f t="shared" si="0"/>
        <v>Tue</v>
      </c>
      <c r="AJ7" s="5" t="str">
        <f t="shared" si="0"/>
        <v>Wed</v>
      </c>
      <c r="AK7" s="5" t="str">
        <f t="shared" si="0"/>
        <v>Thu</v>
      </c>
      <c r="AL7" s="5" t="str">
        <f t="shared" si="0"/>
        <v>Fri</v>
      </c>
      <c r="AM7" s="5" t="str">
        <f t="shared" si="0"/>
        <v/>
      </c>
      <c r="AN7" s="5" t="str">
        <f t="shared" si="0"/>
        <v/>
      </c>
      <c r="AO7" s="5" t="str">
        <f t="shared" si="0"/>
        <v/>
      </c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</row>
    <row r="8" spans="4:59" ht="16.2" thickBot="1" x14ac:dyDescent="0.35">
      <c r="D8" s="42"/>
      <c r="E8" s="42"/>
      <c r="F8" s="42"/>
      <c r="G8" s="6" t="s">
        <v>0</v>
      </c>
      <c r="H8" s="7" t="s">
        <v>23</v>
      </c>
      <c r="I8" s="8" t="s">
        <v>24</v>
      </c>
      <c r="J8" s="20" t="s">
        <v>25</v>
      </c>
      <c r="K8" s="21">
        <f>H5</f>
        <v>45689</v>
      </c>
      <c r="L8" s="21">
        <f>IF(K8&lt;$H$6,K8+1,"")</f>
        <v>45690</v>
      </c>
      <c r="M8" s="21">
        <f t="shared" ref="M8:AO8" si="1">IF(L8&lt;$H$6,L8+1,"")</f>
        <v>45691</v>
      </c>
      <c r="N8" s="21">
        <f t="shared" si="1"/>
        <v>45692</v>
      </c>
      <c r="O8" s="21">
        <f t="shared" si="1"/>
        <v>45693</v>
      </c>
      <c r="P8" s="21">
        <f t="shared" si="1"/>
        <v>45694</v>
      </c>
      <c r="Q8" s="21">
        <f t="shared" si="1"/>
        <v>45695</v>
      </c>
      <c r="R8" s="21">
        <f t="shared" si="1"/>
        <v>45696</v>
      </c>
      <c r="S8" s="21">
        <f t="shared" si="1"/>
        <v>45697</v>
      </c>
      <c r="T8" s="21">
        <f t="shared" si="1"/>
        <v>45698</v>
      </c>
      <c r="U8" s="21">
        <f t="shared" si="1"/>
        <v>45699</v>
      </c>
      <c r="V8" s="21">
        <f t="shared" si="1"/>
        <v>45700</v>
      </c>
      <c r="W8" s="21">
        <f t="shared" si="1"/>
        <v>45701</v>
      </c>
      <c r="X8" s="21">
        <f t="shared" si="1"/>
        <v>45702</v>
      </c>
      <c r="Y8" s="21">
        <f t="shared" si="1"/>
        <v>45703</v>
      </c>
      <c r="Z8" s="21">
        <f t="shared" si="1"/>
        <v>45704</v>
      </c>
      <c r="AA8" s="21">
        <f t="shared" si="1"/>
        <v>45705</v>
      </c>
      <c r="AB8" s="21">
        <f t="shared" si="1"/>
        <v>45706</v>
      </c>
      <c r="AC8" s="21">
        <f>IF(AB8&lt;$H$6,AB8+1,"")</f>
        <v>45707</v>
      </c>
      <c r="AD8" s="21">
        <f t="shared" si="1"/>
        <v>45708</v>
      </c>
      <c r="AE8" s="21">
        <f t="shared" si="1"/>
        <v>45709</v>
      </c>
      <c r="AF8" s="21">
        <f t="shared" si="1"/>
        <v>45710</v>
      </c>
      <c r="AG8" s="21">
        <f t="shared" si="1"/>
        <v>45711</v>
      </c>
      <c r="AH8" s="21">
        <f t="shared" si="1"/>
        <v>45712</v>
      </c>
      <c r="AI8" s="21">
        <f t="shared" si="1"/>
        <v>45713</v>
      </c>
      <c r="AJ8" s="21">
        <f t="shared" si="1"/>
        <v>45714</v>
      </c>
      <c r="AK8" s="21">
        <f t="shared" si="1"/>
        <v>45715</v>
      </c>
      <c r="AL8" s="21">
        <f>IF(AK8&lt;$H$6,AK8+1,"")</f>
        <v>45716</v>
      </c>
      <c r="AM8" s="21" t="str">
        <f t="shared" si="1"/>
        <v/>
      </c>
      <c r="AN8" s="21" t="str">
        <f t="shared" si="1"/>
        <v/>
      </c>
      <c r="AO8" s="22" t="str">
        <f t="shared" si="1"/>
        <v/>
      </c>
      <c r="AP8" s="42"/>
      <c r="AQ8" s="42"/>
      <c r="AR8" s="27" t="s">
        <v>0</v>
      </c>
      <c r="AS8" s="27" t="s">
        <v>23</v>
      </c>
      <c r="AT8" s="27" t="s">
        <v>39</v>
      </c>
      <c r="AU8" s="39" t="s">
        <v>24</v>
      </c>
      <c r="AV8" s="40" t="s">
        <v>30</v>
      </c>
      <c r="AW8" s="41" t="s">
        <v>31</v>
      </c>
      <c r="AX8" s="41" t="s">
        <v>32</v>
      </c>
      <c r="AY8" s="41" t="s">
        <v>33</v>
      </c>
      <c r="AZ8" s="41" t="s">
        <v>28</v>
      </c>
      <c r="BA8" s="41" t="s">
        <v>34</v>
      </c>
      <c r="BB8" s="41" t="s">
        <v>35</v>
      </c>
      <c r="BC8" s="41" t="s">
        <v>36</v>
      </c>
      <c r="BD8" s="41" t="s">
        <v>37</v>
      </c>
      <c r="BE8" s="41" t="s">
        <v>38</v>
      </c>
    </row>
    <row r="9" spans="4:59" ht="15.6" x14ac:dyDescent="0.3">
      <c r="D9" s="42"/>
      <c r="E9" s="42"/>
      <c r="F9" s="42"/>
      <c r="G9" s="9">
        <v>1</v>
      </c>
      <c r="H9" s="10">
        <v>1001</v>
      </c>
      <c r="I9" s="11" t="s">
        <v>3</v>
      </c>
      <c r="J9" s="15">
        <f>COUNTIF($K$7:$AO$7,"sun")</f>
        <v>4</v>
      </c>
      <c r="K9" s="23" t="s">
        <v>43</v>
      </c>
      <c r="L9" s="23" t="str">
        <f t="shared" ref="L9:AG17" si="2">IF(L$7="sun","WO","")</f>
        <v>WO</v>
      </c>
      <c r="M9" s="23" t="s">
        <v>44</v>
      </c>
      <c r="N9" s="23" t="s">
        <v>41</v>
      </c>
      <c r="O9" s="23" t="s">
        <v>43</v>
      </c>
      <c r="P9" s="23" t="s">
        <v>43</v>
      </c>
      <c r="Q9" s="23" t="s">
        <v>43</v>
      </c>
      <c r="R9" s="23" t="s">
        <v>43</v>
      </c>
      <c r="S9" s="23" t="str">
        <f t="shared" si="2"/>
        <v>WO</v>
      </c>
      <c r="T9" s="23" t="s">
        <v>44</v>
      </c>
      <c r="U9" s="23" t="s">
        <v>43</v>
      </c>
      <c r="V9" s="23" t="s">
        <v>41</v>
      </c>
      <c r="W9" s="23" t="s">
        <v>43</v>
      </c>
      <c r="X9" s="23" t="s">
        <v>43</v>
      </c>
      <c r="Y9" s="23" t="s">
        <v>43</v>
      </c>
      <c r="Z9" s="23" t="str">
        <f t="shared" si="2"/>
        <v>WO</v>
      </c>
      <c r="AA9" s="23" t="s">
        <v>43</v>
      </c>
      <c r="AB9" s="23" t="s">
        <v>43</v>
      </c>
      <c r="AC9" s="23" t="s">
        <v>43</v>
      </c>
      <c r="AD9" s="23" t="s">
        <v>43</v>
      </c>
      <c r="AE9" s="23" t="s">
        <v>43</v>
      </c>
      <c r="AF9" s="23" t="s">
        <v>41</v>
      </c>
      <c r="AG9" s="23" t="str">
        <f t="shared" si="2"/>
        <v>WO</v>
      </c>
      <c r="AH9" s="23" t="s">
        <v>43</v>
      </c>
      <c r="AI9" s="23" t="s">
        <v>43</v>
      </c>
      <c r="AJ9" s="23" t="s">
        <v>43</v>
      </c>
      <c r="AK9" s="23" t="s">
        <v>43</v>
      </c>
      <c r="AL9" s="23" t="s">
        <v>41</v>
      </c>
      <c r="AM9" s="23"/>
      <c r="AN9" s="23"/>
      <c r="AO9" s="24"/>
      <c r="AP9" s="42"/>
      <c r="AQ9" s="42"/>
      <c r="AR9" s="3">
        <v>1</v>
      </c>
      <c r="AS9" s="3">
        <v>1001</v>
      </c>
      <c r="AT9" s="3" t="str">
        <f>$I$5</f>
        <v>February</v>
      </c>
      <c r="AU9" s="36" t="s">
        <v>3</v>
      </c>
      <c r="AV9" s="30">
        <f>COUNTIF($K9:$AO9,"P")</f>
        <v>18</v>
      </c>
      <c r="AW9" s="30">
        <f>COUNTIF($K9:$AO9,"A")</f>
        <v>2</v>
      </c>
      <c r="AX9" s="30">
        <f>COUNTIF($K9:$AO9,"L")</f>
        <v>4</v>
      </c>
      <c r="AY9" s="30">
        <f>$J$9</f>
        <v>4</v>
      </c>
      <c r="AZ9" s="30">
        <f>$I$4</f>
        <v>28</v>
      </c>
      <c r="BA9" s="30">
        <f>AZ9-AW9</f>
        <v>26</v>
      </c>
      <c r="BB9" s="31">
        <v>25000</v>
      </c>
      <c r="BC9" s="32">
        <f>BB9/AZ9</f>
        <v>892.85714285714289</v>
      </c>
      <c r="BD9" s="31">
        <f>BC9*AW9</f>
        <v>1785.7142857142858</v>
      </c>
      <c r="BE9" s="31">
        <f>BB9-BD9</f>
        <v>23214.285714285714</v>
      </c>
    </row>
    <row r="10" spans="4:59" ht="15.6" x14ac:dyDescent="0.3">
      <c r="D10" s="42"/>
      <c r="E10" s="42"/>
      <c r="F10" s="42"/>
      <c r="G10" s="9">
        <v>2</v>
      </c>
      <c r="H10" s="10">
        <v>1002</v>
      </c>
      <c r="I10" s="11" t="s">
        <v>4</v>
      </c>
      <c r="J10" s="16">
        <f t="shared" ref="J10:J28" si="3">COUNTIF($K$7:$AO$7,"sun")</f>
        <v>4</v>
      </c>
      <c r="K10" s="17" t="s">
        <v>43</v>
      </c>
      <c r="L10" s="17" t="str">
        <f t="shared" si="2"/>
        <v>WO</v>
      </c>
      <c r="M10" s="17" t="s">
        <v>43</v>
      </c>
      <c r="N10" s="17" t="s">
        <v>41</v>
      </c>
      <c r="O10" s="17" t="s">
        <v>43</v>
      </c>
      <c r="P10" s="17" t="s">
        <v>43</v>
      </c>
      <c r="Q10" s="17" t="s">
        <v>44</v>
      </c>
      <c r="R10" s="17" t="s">
        <v>43</v>
      </c>
      <c r="S10" s="17" t="str">
        <f t="shared" si="2"/>
        <v>WO</v>
      </c>
      <c r="T10" s="17" t="s">
        <v>43</v>
      </c>
      <c r="U10" s="17" t="s">
        <v>43</v>
      </c>
      <c r="V10" s="17" t="s">
        <v>41</v>
      </c>
      <c r="W10" s="17" t="s">
        <v>44</v>
      </c>
      <c r="X10" s="17" t="s">
        <v>43</v>
      </c>
      <c r="Y10" s="17" t="s">
        <v>43</v>
      </c>
      <c r="Z10" s="17" t="str">
        <f t="shared" si="2"/>
        <v>WO</v>
      </c>
      <c r="AA10" s="17" t="s">
        <v>44</v>
      </c>
      <c r="AB10" s="17" t="s">
        <v>43</v>
      </c>
      <c r="AC10" s="17" t="s">
        <v>43</v>
      </c>
      <c r="AD10" s="17" t="s">
        <v>43</v>
      </c>
      <c r="AE10" s="17" t="s">
        <v>43</v>
      </c>
      <c r="AF10" s="17" t="s">
        <v>41</v>
      </c>
      <c r="AG10" s="17" t="str">
        <f t="shared" si="2"/>
        <v>WO</v>
      </c>
      <c r="AH10" s="17" t="s">
        <v>43</v>
      </c>
      <c r="AI10" s="17" t="s">
        <v>43</v>
      </c>
      <c r="AJ10" s="17" t="s">
        <v>43</v>
      </c>
      <c r="AK10" s="17" t="s">
        <v>43</v>
      </c>
      <c r="AL10" s="17" t="s">
        <v>41</v>
      </c>
      <c r="AM10" s="17"/>
      <c r="AN10" s="23"/>
      <c r="AO10" s="18"/>
      <c r="AP10" s="42"/>
      <c r="AQ10" s="42"/>
      <c r="AR10" s="3">
        <v>2</v>
      </c>
      <c r="AS10" s="3">
        <v>1002</v>
      </c>
      <c r="AT10" s="3" t="str">
        <f t="shared" ref="AT10:AT28" si="4">$I$5</f>
        <v>February</v>
      </c>
      <c r="AU10" s="36" t="s">
        <v>4</v>
      </c>
      <c r="AV10">
        <f t="shared" ref="AV10:AV28" si="5">COUNTIF($K10:$AO10,"P")</f>
        <v>17</v>
      </c>
      <c r="AW10">
        <f t="shared" ref="AW10:AW28" si="6">COUNTIF($K10:$AO10,"A")</f>
        <v>3</v>
      </c>
      <c r="AX10">
        <f t="shared" ref="AX10:AX28" si="7">COUNTIF($K10:$AO10,"L")</f>
        <v>4</v>
      </c>
      <c r="AY10">
        <f t="shared" ref="AY10:AY28" si="8">$J$9</f>
        <v>4</v>
      </c>
      <c r="AZ10">
        <f t="shared" ref="AZ10:AZ28" si="9">$I$4</f>
        <v>28</v>
      </c>
      <c r="BA10">
        <f t="shared" ref="BA10:BA28" si="10">AZ10-AW10</f>
        <v>25</v>
      </c>
      <c r="BB10" s="28">
        <v>24000</v>
      </c>
      <c r="BC10" s="29">
        <f t="shared" ref="BC10:BC28" si="11">BB10/AZ10</f>
        <v>857.14285714285711</v>
      </c>
      <c r="BD10" s="28">
        <f t="shared" ref="BD10:BD28" si="12">BC10*AW10</f>
        <v>2571.4285714285716</v>
      </c>
      <c r="BE10" s="28">
        <f t="shared" ref="BE10:BE28" si="13">BB10-BD10</f>
        <v>21428.571428571428</v>
      </c>
    </row>
    <row r="11" spans="4:59" ht="15.6" x14ac:dyDescent="0.3">
      <c r="D11" s="42"/>
      <c r="E11" s="42"/>
      <c r="F11" s="42"/>
      <c r="G11" s="9">
        <v>3</v>
      </c>
      <c r="H11" s="10">
        <v>1003</v>
      </c>
      <c r="I11" s="11" t="s">
        <v>5</v>
      </c>
      <c r="J11" s="16">
        <f t="shared" si="3"/>
        <v>4</v>
      </c>
      <c r="K11" s="17" t="s">
        <v>43</v>
      </c>
      <c r="L11" s="17" t="str">
        <f t="shared" si="2"/>
        <v>WO</v>
      </c>
      <c r="M11" s="17" t="s">
        <v>43</v>
      </c>
      <c r="N11" s="17" t="s">
        <v>41</v>
      </c>
      <c r="O11" s="17" t="s">
        <v>43</v>
      </c>
      <c r="P11" s="17" t="s">
        <v>43</v>
      </c>
      <c r="Q11" s="17" t="s">
        <v>43</v>
      </c>
      <c r="R11" s="17" t="s">
        <v>43</v>
      </c>
      <c r="S11" s="17" t="str">
        <f t="shared" si="2"/>
        <v>WO</v>
      </c>
      <c r="T11" s="17" t="s">
        <v>43</v>
      </c>
      <c r="U11" s="17" t="s">
        <v>43</v>
      </c>
      <c r="V11" s="17" t="s">
        <v>41</v>
      </c>
      <c r="W11" s="17" t="s">
        <v>43</v>
      </c>
      <c r="X11" s="17" t="s">
        <v>44</v>
      </c>
      <c r="Y11" s="17" t="s">
        <v>43</v>
      </c>
      <c r="Z11" s="17" t="str">
        <f t="shared" si="2"/>
        <v>WO</v>
      </c>
      <c r="AA11" s="17" t="s">
        <v>43</v>
      </c>
      <c r="AB11" s="17" t="s">
        <v>43</v>
      </c>
      <c r="AC11" s="17" t="s">
        <v>43</v>
      </c>
      <c r="AD11" s="17" t="s">
        <v>43</v>
      </c>
      <c r="AE11" s="17" t="s">
        <v>43</v>
      </c>
      <c r="AF11" s="17" t="s">
        <v>41</v>
      </c>
      <c r="AG11" s="17" t="str">
        <f t="shared" si="2"/>
        <v>WO</v>
      </c>
      <c r="AH11" s="17" t="s">
        <v>43</v>
      </c>
      <c r="AI11" s="17" t="s">
        <v>43</v>
      </c>
      <c r="AJ11" s="17" t="s">
        <v>43</v>
      </c>
      <c r="AK11" s="17" t="s">
        <v>43</v>
      </c>
      <c r="AL11" s="17" t="s">
        <v>41</v>
      </c>
      <c r="AM11" s="17"/>
      <c r="AN11" s="23"/>
      <c r="AO11" s="18"/>
      <c r="AP11" s="42"/>
      <c r="AQ11" s="42"/>
      <c r="AR11" s="3">
        <v>3</v>
      </c>
      <c r="AS11" s="3">
        <v>1003</v>
      </c>
      <c r="AT11" s="3" t="str">
        <f t="shared" si="4"/>
        <v>February</v>
      </c>
      <c r="AU11" s="36" t="s">
        <v>5</v>
      </c>
      <c r="AV11">
        <f t="shared" si="5"/>
        <v>19</v>
      </c>
      <c r="AW11">
        <f t="shared" si="6"/>
        <v>1</v>
      </c>
      <c r="AX11">
        <f t="shared" si="7"/>
        <v>4</v>
      </c>
      <c r="AY11">
        <f t="shared" si="8"/>
        <v>4</v>
      </c>
      <c r="AZ11">
        <f t="shared" si="9"/>
        <v>28</v>
      </c>
      <c r="BA11">
        <f t="shared" si="10"/>
        <v>27</v>
      </c>
      <c r="BB11" s="28">
        <v>23000</v>
      </c>
      <c r="BC11" s="29">
        <f t="shared" si="11"/>
        <v>821.42857142857144</v>
      </c>
      <c r="BD11" s="28">
        <f t="shared" si="12"/>
        <v>821.42857142857144</v>
      </c>
      <c r="BE11" s="28">
        <f t="shared" si="13"/>
        <v>22178.571428571428</v>
      </c>
    </row>
    <row r="12" spans="4:59" ht="15.6" x14ac:dyDescent="0.3">
      <c r="D12" s="42"/>
      <c r="E12" s="42"/>
      <c r="F12" s="42"/>
      <c r="G12" s="9">
        <v>4</v>
      </c>
      <c r="H12" s="10">
        <v>1004</v>
      </c>
      <c r="I12" s="11" t="s">
        <v>6</v>
      </c>
      <c r="J12" s="16">
        <f t="shared" si="3"/>
        <v>4</v>
      </c>
      <c r="K12" s="17" t="s">
        <v>43</v>
      </c>
      <c r="L12" s="17" t="str">
        <f t="shared" si="2"/>
        <v>WO</v>
      </c>
      <c r="M12" s="17" t="s">
        <v>43</v>
      </c>
      <c r="N12" s="17" t="s">
        <v>41</v>
      </c>
      <c r="O12" s="17" t="s">
        <v>44</v>
      </c>
      <c r="P12" s="17" t="s">
        <v>43</v>
      </c>
      <c r="Q12" s="17" t="s">
        <v>43</v>
      </c>
      <c r="R12" s="17" t="s">
        <v>43</v>
      </c>
      <c r="S12" s="17" t="str">
        <f t="shared" si="2"/>
        <v>WO</v>
      </c>
      <c r="T12" s="17" t="s">
        <v>43</v>
      </c>
      <c r="U12" s="17" t="s">
        <v>43</v>
      </c>
      <c r="V12" s="17" t="s">
        <v>41</v>
      </c>
      <c r="W12" s="17" t="s">
        <v>43</v>
      </c>
      <c r="X12" s="17" t="s">
        <v>43</v>
      </c>
      <c r="Y12" s="17" t="s">
        <v>43</v>
      </c>
      <c r="Z12" s="17" t="str">
        <f t="shared" si="2"/>
        <v>WO</v>
      </c>
      <c r="AA12" s="17" t="s">
        <v>43</v>
      </c>
      <c r="AB12" s="17" t="s">
        <v>43</v>
      </c>
      <c r="AC12" s="17" t="s">
        <v>43</v>
      </c>
      <c r="AD12" s="17" t="s">
        <v>43</v>
      </c>
      <c r="AE12" s="17" t="s">
        <v>43</v>
      </c>
      <c r="AF12" s="17" t="s">
        <v>41</v>
      </c>
      <c r="AG12" s="17" t="str">
        <f t="shared" si="2"/>
        <v>WO</v>
      </c>
      <c r="AH12" s="17" t="s">
        <v>43</v>
      </c>
      <c r="AI12" s="17" t="s">
        <v>43</v>
      </c>
      <c r="AJ12" s="17" t="s">
        <v>43</v>
      </c>
      <c r="AK12" s="17" t="s">
        <v>43</v>
      </c>
      <c r="AL12" s="17" t="s">
        <v>41</v>
      </c>
      <c r="AM12" s="17"/>
      <c r="AN12" s="23"/>
      <c r="AO12" s="18"/>
      <c r="AP12" s="42"/>
      <c r="AQ12" s="42"/>
      <c r="AR12" s="3">
        <v>4</v>
      </c>
      <c r="AS12" s="3">
        <v>1004</v>
      </c>
      <c r="AT12" s="3" t="str">
        <f t="shared" si="4"/>
        <v>February</v>
      </c>
      <c r="AU12" s="36" t="s">
        <v>6</v>
      </c>
      <c r="AV12">
        <f t="shared" si="5"/>
        <v>19</v>
      </c>
      <c r="AW12">
        <f t="shared" si="6"/>
        <v>1</v>
      </c>
      <c r="AX12">
        <f t="shared" si="7"/>
        <v>4</v>
      </c>
      <c r="AY12">
        <f t="shared" si="8"/>
        <v>4</v>
      </c>
      <c r="AZ12">
        <f t="shared" si="9"/>
        <v>28</v>
      </c>
      <c r="BA12">
        <f t="shared" si="10"/>
        <v>27</v>
      </c>
      <c r="BB12" s="28">
        <v>25000</v>
      </c>
      <c r="BC12" s="29">
        <f t="shared" si="11"/>
        <v>892.85714285714289</v>
      </c>
      <c r="BD12" s="28">
        <f t="shared" si="12"/>
        <v>892.85714285714289</v>
      </c>
      <c r="BE12" s="28">
        <f t="shared" si="13"/>
        <v>24107.142857142859</v>
      </c>
    </row>
    <row r="13" spans="4:59" ht="15.6" x14ac:dyDescent="0.3">
      <c r="D13" s="42"/>
      <c r="E13" s="42"/>
      <c r="F13" s="42"/>
      <c r="G13" s="9">
        <v>5</v>
      </c>
      <c r="H13" s="10">
        <v>1005</v>
      </c>
      <c r="I13" s="11" t="s">
        <v>7</v>
      </c>
      <c r="J13" s="16">
        <f t="shared" si="3"/>
        <v>4</v>
      </c>
      <c r="K13" s="17" t="s">
        <v>43</v>
      </c>
      <c r="L13" s="17" t="str">
        <f t="shared" si="2"/>
        <v>WO</v>
      </c>
      <c r="M13" s="17" t="s">
        <v>43</v>
      </c>
      <c r="N13" s="17" t="s">
        <v>41</v>
      </c>
      <c r="O13" s="17" t="s">
        <v>43</v>
      </c>
      <c r="P13" s="17" t="s">
        <v>43</v>
      </c>
      <c r="Q13" s="17" t="s">
        <v>43</v>
      </c>
      <c r="R13" s="17" t="s">
        <v>43</v>
      </c>
      <c r="S13" s="17" t="str">
        <f t="shared" si="2"/>
        <v>WO</v>
      </c>
      <c r="T13" s="17" t="s">
        <v>43</v>
      </c>
      <c r="U13" s="17" t="s">
        <v>43</v>
      </c>
      <c r="V13" s="17" t="s">
        <v>41</v>
      </c>
      <c r="W13" s="17" t="s">
        <v>43</v>
      </c>
      <c r="X13" s="17" t="s">
        <v>43</v>
      </c>
      <c r="Y13" s="17" t="s">
        <v>43</v>
      </c>
      <c r="Z13" s="17" t="str">
        <f t="shared" si="2"/>
        <v>WO</v>
      </c>
      <c r="AA13" s="17" t="s">
        <v>43</v>
      </c>
      <c r="AB13" s="17" t="s">
        <v>43</v>
      </c>
      <c r="AC13" s="17" t="s">
        <v>43</v>
      </c>
      <c r="AD13" s="17" t="s">
        <v>44</v>
      </c>
      <c r="AE13" s="17" t="s">
        <v>43</v>
      </c>
      <c r="AF13" s="17" t="s">
        <v>41</v>
      </c>
      <c r="AG13" s="17" t="str">
        <f t="shared" si="2"/>
        <v>WO</v>
      </c>
      <c r="AH13" s="17" t="s">
        <v>43</v>
      </c>
      <c r="AI13" s="17" t="s">
        <v>43</v>
      </c>
      <c r="AJ13" s="17" t="s">
        <v>43</v>
      </c>
      <c r="AK13" s="17" t="s">
        <v>43</v>
      </c>
      <c r="AL13" s="17" t="s">
        <v>41</v>
      </c>
      <c r="AM13" s="17"/>
      <c r="AN13" s="23"/>
      <c r="AO13" s="18"/>
      <c r="AP13" s="42"/>
      <c r="AQ13" s="42"/>
      <c r="AR13" s="3">
        <v>5</v>
      </c>
      <c r="AS13" s="3">
        <v>1005</v>
      </c>
      <c r="AT13" s="3" t="str">
        <f t="shared" si="4"/>
        <v>February</v>
      </c>
      <c r="AU13" s="36" t="s">
        <v>7</v>
      </c>
      <c r="AV13">
        <f t="shared" si="5"/>
        <v>19</v>
      </c>
      <c r="AW13">
        <f t="shared" si="6"/>
        <v>1</v>
      </c>
      <c r="AX13">
        <f t="shared" si="7"/>
        <v>4</v>
      </c>
      <c r="AY13">
        <f t="shared" si="8"/>
        <v>4</v>
      </c>
      <c r="AZ13">
        <f t="shared" si="9"/>
        <v>28</v>
      </c>
      <c r="BA13">
        <f t="shared" si="10"/>
        <v>27</v>
      </c>
      <c r="BB13" s="28">
        <v>26000</v>
      </c>
      <c r="BC13" s="29">
        <f t="shared" si="11"/>
        <v>928.57142857142856</v>
      </c>
      <c r="BD13" s="28">
        <f t="shared" si="12"/>
        <v>928.57142857142856</v>
      </c>
      <c r="BE13" s="28">
        <f t="shared" si="13"/>
        <v>25071.428571428572</v>
      </c>
    </row>
    <row r="14" spans="4:59" ht="15.6" x14ac:dyDescent="0.3">
      <c r="D14" s="42"/>
      <c r="E14" s="42"/>
      <c r="F14" s="42"/>
      <c r="G14" s="9">
        <v>6</v>
      </c>
      <c r="H14" s="10">
        <v>1006</v>
      </c>
      <c r="I14" s="11" t="s">
        <v>8</v>
      </c>
      <c r="J14" s="16">
        <f t="shared" si="3"/>
        <v>4</v>
      </c>
      <c r="K14" s="17" t="s">
        <v>43</v>
      </c>
      <c r="L14" s="17" t="str">
        <f t="shared" si="2"/>
        <v>WO</v>
      </c>
      <c r="M14" s="17" t="s">
        <v>43</v>
      </c>
      <c r="N14" s="17" t="s">
        <v>41</v>
      </c>
      <c r="O14" s="17" t="s">
        <v>43</v>
      </c>
      <c r="P14" s="17" t="s">
        <v>43</v>
      </c>
      <c r="Q14" s="17" t="s">
        <v>43</v>
      </c>
      <c r="R14" s="17" t="s">
        <v>43</v>
      </c>
      <c r="S14" s="17" t="str">
        <f t="shared" si="2"/>
        <v>WO</v>
      </c>
      <c r="T14" s="17" t="s">
        <v>43</v>
      </c>
      <c r="U14" s="17" t="s">
        <v>43</v>
      </c>
      <c r="V14" s="17" t="s">
        <v>41</v>
      </c>
      <c r="W14" s="17" t="s">
        <v>43</v>
      </c>
      <c r="X14" s="17" t="s">
        <v>43</v>
      </c>
      <c r="Y14" s="17" t="s">
        <v>43</v>
      </c>
      <c r="Z14" s="17" t="str">
        <f t="shared" si="2"/>
        <v>WO</v>
      </c>
      <c r="AA14" s="17" t="s">
        <v>43</v>
      </c>
      <c r="AB14" s="17" t="s">
        <v>43</v>
      </c>
      <c r="AC14" s="17" t="s">
        <v>43</v>
      </c>
      <c r="AD14" s="17" t="s">
        <v>43</v>
      </c>
      <c r="AE14" s="17" t="s">
        <v>43</v>
      </c>
      <c r="AF14" s="17" t="s">
        <v>41</v>
      </c>
      <c r="AG14" s="17" t="str">
        <f t="shared" si="2"/>
        <v>WO</v>
      </c>
      <c r="AH14" s="17" t="s">
        <v>43</v>
      </c>
      <c r="AI14" s="17" t="s">
        <v>44</v>
      </c>
      <c r="AJ14" s="17" t="s">
        <v>43</v>
      </c>
      <c r="AK14" s="17" t="s">
        <v>43</v>
      </c>
      <c r="AL14" s="17" t="s">
        <v>41</v>
      </c>
      <c r="AM14" s="17"/>
      <c r="AN14" s="23"/>
      <c r="AO14" s="18"/>
      <c r="AP14" s="42"/>
      <c r="AQ14" s="42"/>
      <c r="AR14" s="3">
        <v>6</v>
      </c>
      <c r="AS14" s="3">
        <v>1006</v>
      </c>
      <c r="AT14" s="3" t="str">
        <f t="shared" si="4"/>
        <v>February</v>
      </c>
      <c r="AU14" s="36" t="s">
        <v>8</v>
      </c>
      <c r="AV14">
        <f t="shared" si="5"/>
        <v>19</v>
      </c>
      <c r="AW14">
        <f t="shared" si="6"/>
        <v>1</v>
      </c>
      <c r="AX14">
        <f t="shared" si="7"/>
        <v>4</v>
      </c>
      <c r="AY14">
        <f t="shared" si="8"/>
        <v>4</v>
      </c>
      <c r="AZ14">
        <f t="shared" si="9"/>
        <v>28</v>
      </c>
      <c r="BA14">
        <f t="shared" si="10"/>
        <v>27</v>
      </c>
      <c r="BB14" s="28">
        <v>31000</v>
      </c>
      <c r="BC14" s="29">
        <f t="shared" si="11"/>
        <v>1107.1428571428571</v>
      </c>
      <c r="BD14" s="28">
        <f t="shared" si="12"/>
        <v>1107.1428571428571</v>
      </c>
      <c r="BE14" s="28">
        <f t="shared" si="13"/>
        <v>29892.857142857141</v>
      </c>
    </row>
    <row r="15" spans="4:59" ht="15.6" x14ac:dyDescent="0.3">
      <c r="D15" s="42"/>
      <c r="E15" s="42"/>
      <c r="F15" s="42"/>
      <c r="G15" s="9">
        <v>7</v>
      </c>
      <c r="H15" s="10">
        <v>1007</v>
      </c>
      <c r="I15" s="11" t="s">
        <v>9</v>
      </c>
      <c r="J15" s="16">
        <f t="shared" si="3"/>
        <v>4</v>
      </c>
      <c r="K15" s="17" t="s">
        <v>43</v>
      </c>
      <c r="L15" s="17" t="str">
        <f t="shared" si="2"/>
        <v>WO</v>
      </c>
      <c r="M15" s="17" t="s">
        <v>43</v>
      </c>
      <c r="N15" s="17" t="s">
        <v>41</v>
      </c>
      <c r="O15" s="17" t="s">
        <v>43</v>
      </c>
      <c r="P15" s="17" t="s">
        <v>43</v>
      </c>
      <c r="Q15" s="17" t="s">
        <v>43</v>
      </c>
      <c r="R15" s="17" t="s">
        <v>43</v>
      </c>
      <c r="S15" s="17" t="str">
        <f t="shared" si="2"/>
        <v>WO</v>
      </c>
      <c r="T15" s="17" t="s">
        <v>43</v>
      </c>
      <c r="U15" s="17" t="s">
        <v>43</v>
      </c>
      <c r="V15" s="17" t="s">
        <v>41</v>
      </c>
      <c r="W15" s="17" t="s">
        <v>43</v>
      </c>
      <c r="X15" s="17" t="s">
        <v>43</v>
      </c>
      <c r="Y15" s="17" t="s">
        <v>43</v>
      </c>
      <c r="Z15" s="17" t="str">
        <f t="shared" si="2"/>
        <v>WO</v>
      </c>
      <c r="AA15" s="17" t="s">
        <v>43</v>
      </c>
      <c r="AB15" s="17" t="s">
        <v>43</v>
      </c>
      <c r="AC15" s="17" t="s">
        <v>43</v>
      </c>
      <c r="AD15" s="17" t="s">
        <v>43</v>
      </c>
      <c r="AE15" s="17" t="s">
        <v>43</v>
      </c>
      <c r="AF15" s="17" t="s">
        <v>41</v>
      </c>
      <c r="AG15" s="17" t="str">
        <f t="shared" si="2"/>
        <v>WO</v>
      </c>
      <c r="AH15" s="17" t="s">
        <v>43</v>
      </c>
      <c r="AI15" s="17" t="s">
        <v>43</v>
      </c>
      <c r="AJ15" s="17" t="s">
        <v>43</v>
      </c>
      <c r="AK15" s="17" t="s">
        <v>43</v>
      </c>
      <c r="AL15" s="17" t="s">
        <v>41</v>
      </c>
      <c r="AM15" s="17"/>
      <c r="AN15" s="23"/>
      <c r="AO15" s="18"/>
      <c r="AP15" s="42"/>
      <c r="AQ15" s="42"/>
      <c r="AR15" s="3">
        <v>7</v>
      </c>
      <c r="AS15" s="3">
        <v>1007</v>
      </c>
      <c r="AT15" s="3" t="str">
        <f t="shared" si="4"/>
        <v>February</v>
      </c>
      <c r="AU15" s="36" t="s">
        <v>9</v>
      </c>
      <c r="AV15">
        <f t="shared" si="5"/>
        <v>20</v>
      </c>
      <c r="AW15">
        <f t="shared" si="6"/>
        <v>0</v>
      </c>
      <c r="AX15">
        <f t="shared" si="7"/>
        <v>4</v>
      </c>
      <c r="AY15">
        <f t="shared" si="8"/>
        <v>4</v>
      </c>
      <c r="AZ15">
        <f t="shared" si="9"/>
        <v>28</v>
      </c>
      <c r="BA15">
        <f t="shared" si="10"/>
        <v>28</v>
      </c>
      <c r="BB15" s="28">
        <v>28000</v>
      </c>
      <c r="BC15" s="29">
        <f t="shared" si="11"/>
        <v>1000</v>
      </c>
      <c r="BD15" s="28">
        <f t="shared" si="12"/>
        <v>0</v>
      </c>
      <c r="BE15" s="28">
        <f t="shared" si="13"/>
        <v>28000</v>
      </c>
    </row>
    <row r="16" spans="4:59" ht="15.6" x14ac:dyDescent="0.3">
      <c r="D16" s="42"/>
      <c r="E16" s="42"/>
      <c r="F16" s="42"/>
      <c r="G16" s="9">
        <v>8</v>
      </c>
      <c r="H16" s="10">
        <v>1008</v>
      </c>
      <c r="I16" s="11" t="s">
        <v>10</v>
      </c>
      <c r="J16" s="16">
        <f t="shared" si="3"/>
        <v>4</v>
      </c>
      <c r="K16" s="17" t="s">
        <v>43</v>
      </c>
      <c r="L16" s="17" t="str">
        <f t="shared" si="2"/>
        <v>WO</v>
      </c>
      <c r="M16" s="17" t="s">
        <v>44</v>
      </c>
      <c r="N16" s="17" t="s">
        <v>41</v>
      </c>
      <c r="O16" s="17" t="s">
        <v>43</v>
      </c>
      <c r="P16" s="17" t="s">
        <v>44</v>
      </c>
      <c r="Q16" s="17" t="s">
        <v>43</v>
      </c>
      <c r="R16" s="17" t="s">
        <v>43</v>
      </c>
      <c r="S16" s="17" t="str">
        <f t="shared" si="2"/>
        <v>WO</v>
      </c>
      <c r="T16" s="17" t="s">
        <v>43</v>
      </c>
      <c r="U16" s="17" t="s">
        <v>43</v>
      </c>
      <c r="V16" s="17" t="s">
        <v>41</v>
      </c>
      <c r="W16" s="17" t="s">
        <v>44</v>
      </c>
      <c r="X16" s="17" t="s">
        <v>43</v>
      </c>
      <c r="Y16" s="17" t="s">
        <v>43</v>
      </c>
      <c r="Z16" s="17" t="str">
        <f t="shared" si="2"/>
        <v>WO</v>
      </c>
      <c r="AA16" s="17" t="s">
        <v>43</v>
      </c>
      <c r="AB16" s="17" t="s">
        <v>43</v>
      </c>
      <c r="AC16" s="17" t="s">
        <v>43</v>
      </c>
      <c r="AD16" s="17" t="s">
        <v>43</v>
      </c>
      <c r="AE16" s="17" t="s">
        <v>43</v>
      </c>
      <c r="AF16" s="17" t="s">
        <v>41</v>
      </c>
      <c r="AG16" s="17" t="str">
        <f t="shared" si="2"/>
        <v>WO</v>
      </c>
      <c r="AH16" s="17" t="s">
        <v>43</v>
      </c>
      <c r="AI16" s="17" t="s">
        <v>43</v>
      </c>
      <c r="AJ16" s="17" t="s">
        <v>43</v>
      </c>
      <c r="AK16" s="17" t="s">
        <v>43</v>
      </c>
      <c r="AL16" s="17" t="s">
        <v>41</v>
      </c>
      <c r="AM16" s="17"/>
      <c r="AN16" s="23"/>
      <c r="AO16" s="18"/>
      <c r="AP16" s="42"/>
      <c r="AQ16" s="42"/>
      <c r="AR16" s="3">
        <v>8</v>
      </c>
      <c r="AS16" s="3">
        <v>1008</v>
      </c>
      <c r="AT16" s="3" t="str">
        <f t="shared" si="4"/>
        <v>February</v>
      </c>
      <c r="AU16" s="36" t="s">
        <v>10</v>
      </c>
      <c r="AV16">
        <f t="shared" si="5"/>
        <v>17</v>
      </c>
      <c r="AW16">
        <f t="shared" si="6"/>
        <v>3</v>
      </c>
      <c r="AX16">
        <f t="shared" si="7"/>
        <v>4</v>
      </c>
      <c r="AY16">
        <f t="shared" si="8"/>
        <v>4</v>
      </c>
      <c r="AZ16">
        <f t="shared" si="9"/>
        <v>28</v>
      </c>
      <c r="BA16">
        <f t="shared" si="10"/>
        <v>25</v>
      </c>
      <c r="BB16" s="28">
        <v>29000</v>
      </c>
      <c r="BC16" s="29">
        <f t="shared" si="11"/>
        <v>1035.7142857142858</v>
      </c>
      <c r="BD16" s="28">
        <f t="shared" si="12"/>
        <v>3107.1428571428573</v>
      </c>
      <c r="BE16" s="28">
        <f t="shared" si="13"/>
        <v>25892.857142857141</v>
      </c>
    </row>
    <row r="17" spans="4:59" ht="15.6" x14ac:dyDescent="0.3">
      <c r="D17" s="42"/>
      <c r="E17" s="42"/>
      <c r="F17" s="42"/>
      <c r="G17" s="9">
        <v>9</v>
      </c>
      <c r="H17" s="10">
        <v>1009</v>
      </c>
      <c r="I17" s="11" t="s">
        <v>11</v>
      </c>
      <c r="J17" s="16">
        <f t="shared" si="3"/>
        <v>4</v>
      </c>
      <c r="K17" s="17" t="s">
        <v>43</v>
      </c>
      <c r="L17" s="17" t="str">
        <f t="shared" si="2"/>
        <v>WO</v>
      </c>
      <c r="M17" s="17" t="s">
        <v>43</v>
      </c>
      <c r="N17" s="17" t="s">
        <v>41</v>
      </c>
      <c r="O17" s="17" t="s">
        <v>43</v>
      </c>
      <c r="P17" s="17" t="s">
        <v>43</v>
      </c>
      <c r="Q17" s="17" t="s">
        <v>43</v>
      </c>
      <c r="R17" s="17" t="s">
        <v>43</v>
      </c>
      <c r="S17" s="17" t="str">
        <f t="shared" si="2"/>
        <v>WO</v>
      </c>
      <c r="T17" s="17" t="s">
        <v>43</v>
      </c>
      <c r="U17" s="17" t="s">
        <v>43</v>
      </c>
      <c r="V17" s="17" t="s">
        <v>41</v>
      </c>
      <c r="W17" s="17" t="s">
        <v>43</v>
      </c>
      <c r="X17" s="17" t="s">
        <v>43</v>
      </c>
      <c r="Y17" s="17" t="s">
        <v>44</v>
      </c>
      <c r="Z17" s="17" t="str">
        <f t="shared" si="2"/>
        <v>WO</v>
      </c>
      <c r="AA17" s="17" t="s">
        <v>43</v>
      </c>
      <c r="AB17" s="17" t="s">
        <v>43</v>
      </c>
      <c r="AC17" s="17" t="s">
        <v>43</v>
      </c>
      <c r="AD17" s="17" t="s">
        <v>43</v>
      </c>
      <c r="AE17" s="17" t="s">
        <v>44</v>
      </c>
      <c r="AF17" s="17" t="s">
        <v>41</v>
      </c>
      <c r="AG17" s="17" t="str">
        <f t="shared" ref="AG17:AG28" si="14">IF(AG$7="sun","WO","")</f>
        <v>WO</v>
      </c>
      <c r="AH17" s="17" t="s">
        <v>43</v>
      </c>
      <c r="AI17" s="17" t="s">
        <v>43</v>
      </c>
      <c r="AJ17" s="17" t="s">
        <v>43</v>
      </c>
      <c r="AK17" s="17" t="s">
        <v>43</v>
      </c>
      <c r="AL17" s="17" t="s">
        <v>41</v>
      </c>
      <c r="AM17" s="17"/>
      <c r="AN17" s="23"/>
      <c r="AO17" s="18"/>
      <c r="AP17" s="42"/>
      <c r="AQ17" s="42"/>
      <c r="AR17" s="3">
        <v>9</v>
      </c>
      <c r="AS17" s="3">
        <v>1009</v>
      </c>
      <c r="AT17" s="3" t="str">
        <f t="shared" si="4"/>
        <v>February</v>
      </c>
      <c r="AU17" s="36" t="s">
        <v>11</v>
      </c>
      <c r="AV17">
        <f t="shared" si="5"/>
        <v>18</v>
      </c>
      <c r="AW17">
        <f t="shared" si="6"/>
        <v>2</v>
      </c>
      <c r="AX17">
        <f t="shared" si="7"/>
        <v>4</v>
      </c>
      <c r="AY17">
        <f t="shared" si="8"/>
        <v>4</v>
      </c>
      <c r="AZ17">
        <f t="shared" si="9"/>
        <v>28</v>
      </c>
      <c r="BA17">
        <f t="shared" si="10"/>
        <v>26</v>
      </c>
      <c r="BB17" s="28">
        <v>32000</v>
      </c>
      <c r="BC17" s="29">
        <f t="shared" si="11"/>
        <v>1142.8571428571429</v>
      </c>
      <c r="BD17" s="28">
        <f t="shared" si="12"/>
        <v>2285.7142857142858</v>
      </c>
      <c r="BE17" s="28">
        <f t="shared" si="13"/>
        <v>29714.285714285714</v>
      </c>
    </row>
    <row r="18" spans="4:59" ht="15.6" x14ac:dyDescent="0.3">
      <c r="D18" s="42"/>
      <c r="E18" s="42"/>
      <c r="F18" s="42"/>
      <c r="G18" s="9">
        <v>10</v>
      </c>
      <c r="H18" s="10">
        <v>1010</v>
      </c>
      <c r="I18" s="11" t="s">
        <v>12</v>
      </c>
      <c r="J18" s="16">
        <f t="shared" si="3"/>
        <v>4</v>
      </c>
      <c r="K18" s="17" t="s">
        <v>43</v>
      </c>
      <c r="L18" s="17" t="str">
        <f t="shared" ref="L18:Z28" si="15">IF(L$7="sun","WO","")</f>
        <v>WO</v>
      </c>
      <c r="M18" s="17" t="s">
        <v>43</v>
      </c>
      <c r="N18" s="17" t="s">
        <v>41</v>
      </c>
      <c r="O18" s="17" t="s">
        <v>43</v>
      </c>
      <c r="P18" s="17" t="s">
        <v>43</v>
      </c>
      <c r="Q18" s="17" t="s">
        <v>43</v>
      </c>
      <c r="R18" s="17" t="s">
        <v>43</v>
      </c>
      <c r="S18" s="17" t="str">
        <f t="shared" si="15"/>
        <v>WO</v>
      </c>
      <c r="T18" s="17" t="s">
        <v>43</v>
      </c>
      <c r="U18" s="17" t="s">
        <v>43</v>
      </c>
      <c r="V18" s="17" t="s">
        <v>41</v>
      </c>
      <c r="W18" s="17" t="s">
        <v>43</v>
      </c>
      <c r="X18" s="17" t="s">
        <v>43</v>
      </c>
      <c r="Y18" s="17" t="s">
        <v>43</v>
      </c>
      <c r="Z18" s="17" t="str">
        <f t="shared" si="15"/>
        <v>WO</v>
      </c>
      <c r="AA18" s="17" t="s">
        <v>43</v>
      </c>
      <c r="AB18" s="17" t="s">
        <v>43</v>
      </c>
      <c r="AC18" s="17" t="s">
        <v>44</v>
      </c>
      <c r="AD18" s="17" t="s">
        <v>43</v>
      </c>
      <c r="AE18" s="17" t="s">
        <v>43</v>
      </c>
      <c r="AF18" s="17" t="s">
        <v>41</v>
      </c>
      <c r="AG18" s="17" t="str">
        <f t="shared" si="14"/>
        <v>WO</v>
      </c>
      <c r="AH18" s="17" t="s">
        <v>43</v>
      </c>
      <c r="AI18" s="17" t="s">
        <v>43</v>
      </c>
      <c r="AJ18" s="17" t="s">
        <v>43</v>
      </c>
      <c r="AK18" s="17" t="s">
        <v>43</v>
      </c>
      <c r="AL18" s="17" t="s">
        <v>41</v>
      </c>
      <c r="AM18" s="17"/>
      <c r="AN18" s="23"/>
      <c r="AO18" s="18"/>
      <c r="AP18" s="42"/>
      <c r="AQ18" s="42"/>
      <c r="AR18" s="3">
        <v>10</v>
      </c>
      <c r="AS18" s="3">
        <v>1010</v>
      </c>
      <c r="AT18" s="3" t="str">
        <f t="shared" si="4"/>
        <v>February</v>
      </c>
      <c r="AU18" s="36" t="s">
        <v>12</v>
      </c>
      <c r="AV18">
        <f t="shared" si="5"/>
        <v>19</v>
      </c>
      <c r="AW18">
        <f t="shared" si="6"/>
        <v>1</v>
      </c>
      <c r="AX18">
        <f t="shared" si="7"/>
        <v>4</v>
      </c>
      <c r="AY18">
        <f t="shared" si="8"/>
        <v>4</v>
      </c>
      <c r="AZ18">
        <f t="shared" si="9"/>
        <v>28</v>
      </c>
      <c r="BA18">
        <f t="shared" si="10"/>
        <v>27</v>
      </c>
      <c r="BB18" s="28">
        <v>35000</v>
      </c>
      <c r="BC18" s="29">
        <f t="shared" si="11"/>
        <v>1250</v>
      </c>
      <c r="BD18" s="28">
        <f t="shared" si="12"/>
        <v>1250</v>
      </c>
      <c r="BE18" s="28">
        <f t="shared" si="13"/>
        <v>33750</v>
      </c>
    </row>
    <row r="19" spans="4:59" ht="15.6" x14ac:dyDescent="0.3">
      <c r="D19" s="42"/>
      <c r="E19" s="42"/>
      <c r="F19" s="42"/>
      <c r="G19" s="9">
        <v>11</v>
      </c>
      <c r="H19" s="10">
        <v>1011</v>
      </c>
      <c r="I19" s="11" t="s">
        <v>13</v>
      </c>
      <c r="J19" s="16">
        <f t="shared" si="3"/>
        <v>4</v>
      </c>
      <c r="K19" s="17" t="s">
        <v>43</v>
      </c>
      <c r="L19" s="17" t="str">
        <f t="shared" si="15"/>
        <v>WO</v>
      </c>
      <c r="M19" s="17" t="s">
        <v>43</v>
      </c>
      <c r="N19" s="17" t="s">
        <v>41</v>
      </c>
      <c r="O19" s="17" t="s">
        <v>43</v>
      </c>
      <c r="P19" s="17" t="s">
        <v>43</v>
      </c>
      <c r="Q19" s="17" t="s">
        <v>43</v>
      </c>
      <c r="R19" s="17" t="s">
        <v>43</v>
      </c>
      <c r="S19" s="17" t="str">
        <f t="shared" si="15"/>
        <v>WO</v>
      </c>
      <c r="T19" s="17" t="s">
        <v>43</v>
      </c>
      <c r="U19" s="17" t="s">
        <v>43</v>
      </c>
      <c r="V19" s="17" t="s">
        <v>41</v>
      </c>
      <c r="W19" s="17" t="s">
        <v>43</v>
      </c>
      <c r="X19" s="17" t="s">
        <v>43</v>
      </c>
      <c r="Y19" s="17" t="s">
        <v>43</v>
      </c>
      <c r="Z19" s="17" t="str">
        <f t="shared" si="15"/>
        <v>WO</v>
      </c>
      <c r="AA19" s="17" t="s">
        <v>43</v>
      </c>
      <c r="AB19" s="17" t="s">
        <v>43</v>
      </c>
      <c r="AC19" s="17" t="s">
        <v>43</v>
      </c>
      <c r="AD19" s="17" t="s">
        <v>43</v>
      </c>
      <c r="AE19" s="17" t="s">
        <v>43</v>
      </c>
      <c r="AF19" s="17" t="s">
        <v>41</v>
      </c>
      <c r="AG19" s="17" t="str">
        <f t="shared" si="14"/>
        <v>WO</v>
      </c>
      <c r="AH19" s="17" t="s">
        <v>44</v>
      </c>
      <c r="AI19" s="17" t="s">
        <v>43</v>
      </c>
      <c r="AJ19" s="17" t="s">
        <v>43</v>
      </c>
      <c r="AK19" s="17" t="s">
        <v>43</v>
      </c>
      <c r="AL19" s="17" t="s">
        <v>41</v>
      </c>
      <c r="AM19" s="17"/>
      <c r="AN19" s="23"/>
      <c r="AO19" s="18"/>
      <c r="AP19" s="42"/>
      <c r="AQ19" s="42"/>
      <c r="AR19" s="3">
        <v>11</v>
      </c>
      <c r="AS19" s="3">
        <v>1011</v>
      </c>
      <c r="AT19" s="3" t="str">
        <f t="shared" si="4"/>
        <v>February</v>
      </c>
      <c r="AU19" s="36" t="s">
        <v>13</v>
      </c>
      <c r="AV19">
        <f t="shared" si="5"/>
        <v>19</v>
      </c>
      <c r="AW19">
        <f t="shared" si="6"/>
        <v>1</v>
      </c>
      <c r="AX19">
        <f t="shared" si="7"/>
        <v>4</v>
      </c>
      <c r="AY19">
        <f t="shared" si="8"/>
        <v>4</v>
      </c>
      <c r="AZ19">
        <f t="shared" si="9"/>
        <v>28</v>
      </c>
      <c r="BA19">
        <f t="shared" si="10"/>
        <v>27</v>
      </c>
      <c r="BB19" s="28">
        <v>50000</v>
      </c>
      <c r="BC19" s="29">
        <f t="shared" si="11"/>
        <v>1785.7142857142858</v>
      </c>
      <c r="BD19" s="28">
        <f t="shared" si="12"/>
        <v>1785.7142857142858</v>
      </c>
      <c r="BE19" s="28">
        <f t="shared" si="13"/>
        <v>48214.285714285717</v>
      </c>
    </row>
    <row r="20" spans="4:59" ht="15.6" x14ac:dyDescent="0.3">
      <c r="D20" s="42"/>
      <c r="E20" s="42"/>
      <c r="F20" s="42"/>
      <c r="G20" s="9">
        <v>12</v>
      </c>
      <c r="H20" s="10">
        <v>1012</v>
      </c>
      <c r="I20" s="11" t="s">
        <v>14</v>
      </c>
      <c r="J20" s="16">
        <f t="shared" si="3"/>
        <v>4</v>
      </c>
      <c r="K20" s="17" t="s">
        <v>43</v>
      </c>
      <c r="L20" s="17" t="str">
        <f t="shared" si="15"/>
        <v>WO</v>
      </c>
      <c r="M20" s="17" t="s">
        <v>43</v>
      </c>
      <c r="N20" s="17" t="s">
        <v>41</v>
      </c>
      <c r="O20" s="17" t="s">
        <v>43</v>
      </c>
      <c r="P20" s="17" t="s">
        <v>43</v>
      </c>
      <c r="Q20" s="17" t="s">
        <v>43</v>
      </c>
      <c r="R20" s="17" t="s">
        <v>44</v>
      </c>
      <c r="S20" s="17" t="str">
        <f t="shared" si="15"/>
        <v>WO</v>
      </c>
      <c r="T20" s="17" t="s">
        <v>43</v>
      </c>
      <c r="U20" s="17" t="s">
        <v>44</v>
      </c>
      <c r="V20" s="17" t="s">
        <v>41</v>
      </c>
      <c r="W20" s="17" t="s">
        <v>43</v>
      </c>
      <c r="X20" s="17" t="s">
        <v>43</v>
      </c>
      <c r="Y20" s="17" t="s">
        <v>43</v>
      </c>
      <c r="Z20" s="17" t="str">
        <f t="shared" si="15"/>
        <v>WO</v>
      </c>
      <c r="AA20" s="17" t="s">
        <v>44</v>
      </c>
      <c r="AB20" s="17" t="s">
        <v>43</v>
      </c>
      <c r="AC20" s="17" t="s">
        <v>43</v>
      </c>
      <c r="AD20" s="17" t="s">
        <v>43</v>
      </c>
      <c r="AE20" s="17" t="s">
        <v>43</v>
      </c>
      <c r="AF20" s="17" t="s">
        <v>41</v>
      </c>
      <c r="AG20" s="17" t="str">
        <f t="shared" si="14"/>
        <v>WO</v>
      </c>
      <c r="AH20" s="17" t="s">
        <v>43</v>
      </c>
      <c r="AI20" s="17" t="s">
        <v>43</v>
      </c>
      <c r="AJ20" s="17" t="s">
        <v>43</v>
      </c>
      <c r="AK20" s="17" t="s">
        <v>43</v>
      </c>
      <c r="AL20" s="17" t="s">
        <v>41</v>
      </c>
      <c r="AM20" s="17"/>
      <c r="AN20" s="23"/>
      <c r="AO20" s="18"/>
      <c r="AP20" s="42"/>
      <c r="AQ20" s="42"/>
      <c r="AR20" s="3">
        <v>12</v>
      </c>
      <c r="AS20" s="3">
        <v>1012</v>
      </c>
      <c r="AT20" s="3" t="str">
        <f t="shared" si="4"/>
        <v>February</v>
      </c>
      <c r="AU20" s="36" t="s">
        <v>14</v>
      </c>
      <c r="AV20">
        <f t="shared" si="5"/>
        <v>17</v>
      </c>
      <c r="AW20">
        <f t="shared" si="6"/>
        <v>3</v>
      </c>
      <c r="AX20">
        <f t="shared" si="7"/>
        <v>4</v>
      </c>
      <c r="AY20">
        <f t="shared" si="8"/>
        <v>4</v>
      </c>
      <c r="AZ20">
        <f t="shared" si="9"/>
        <v>28</v>
      </c>
      <c r="BA20">
        <f t="shared" si="10"/>
        <v>25</v>
      </c>
      <c r="BB20" s="28">
        <v>29000</v>
      </c>
      <c r="BC20" s="29">
        <f t="shared" si="11"/>
        <v>1035.7142857142858</v>
      </c>
      <c r="BD20" s="28">
        <f t="shared" si="12"/>
        <v>3107.1428571428573</v>
      </c>
      <c r="BE20" s="28">
        <f t="shared" si="13"/>
        <v>25892.857142857141</v>
      </c>
    </row>
    <row r="21" spans="4:59" ht="15.6" x14ac:dyDescent="0.3">
      <c r="D21" s="42"/>
      <c r="E21" s="42"/>
      <c r="F21" s="42"/>
      <c r="G21" s="9">
        <v>13</v>
      </c>
      <c r="H21" s="10">
        <v>1013</v>
      </c>
      <c r="I21" s="11" t="s">
        <v>15</v>
      </c>
      <c r="J21" s="16">
        <f t="shared" si="3"/>
        <v>4</v>
      </c>
      <c r="K21" s="17" t="s">
        <v>43</v>
      </c>
      <c r="L21" s="17" t="str">
        <f t="shared" si="15"/>
        <v>WO</v>
      </c>
      <c r="M21" s="17" t="s">
        <v>43</v>
      </c>
      <c r="N21" s="17" t="s">
        <v>41</v>
      </c>
      <c r="O21" s="17" t="s">
        <v>43</v>
      </c>
      <c r="P21" s="17" t="s">
        <v>43</v>
      </c>
      <c r="Q21" s="17" t="s">
        <v>43</v>
      </c>
      <c r="R21" s="17" t="s">
        <v>43</v>
      </c>
      <c r="S21" s="17" t="str">
        <f t="shared" si="15"/>
        <v>WO</v>
      </c>
      <c r="T21" s="17" t="s">
        <v>43</v>
      </c>
      <c r="U21" s="17" t="s">
        <v>43</v>
      </c>
      <c r="V21" s="17" t="s">
        <v>41</v>
      </c>
      <c r="W21" s="17" t="s">
        <v>43</v>
      </c>
      <c r="X21" s="17" t="s">
        <v>44</v>
      </c>
      <c r="Y21" s="17" t="s">
        <v>43</v>
      </c>
      <c r="Z21" s="17" t="str">
        <f t="shared" si="15"/>
        <v>WO</v>
      </c>
      <c r="AA21" s="17" t="s">
        <v>43</v>
      </c>
      <c r="AB21" s="17" t="s">
        <v>43</v>
      </c>
      <c r="AC21" s="17" t="s">
        <v>43</v>
      </c>
      <c r="AD21" s="17" t="s">
        <v>43</v>
      </c>
      <c r="AE21" s="17" t="s">
        <v>43</v>
      </c>
      <c r="AF21" s="17" t="s">
        <v>41</v>
      </c>
      <c r="AG21" s="17" t="str">
        <f t="shared" si="14"/>
        <v>WO</v>
      </c>
      <c r="AH21" s="17" t="s">
        <v>43</v>
      </c>
      <c r="AI21" s="17" t="s">
        <v>43</v>
      </c>
      <c r="AJ21" s="17" t="s">
        <v>43</v>
      </c>
      <c r="AK21" s="17" t="s">
        <v>44</v>
      </c>
      <c r="AL21" s="17" t="s">
        <v>41</v>
      </c>
      <c r="AM21" s="17"/>
      <c r="AN21" s="23"/>
      <c r="AO21" s="18"/>
      <c r="AP21" s="42"/>
      <c r="AQ21" s="42"/>
      <c r="AR21" s="3">
        <v>13</v>
      </c>
      <c r="AS21" s="3">
        <v>1013</v>
      </c>
      <c r="AT21" s="3" t="str">
        <f t="shared" si="4"/>
        <v>February</v>
      </c>
      <c r="AU21" s="36" t="s">
        <v>15</v>
      </c>
      <c r="AV21">
        <f t="shared" si="5"/>
        <v>18</v>
      </c>
      <c r="AW21">
        <f t="shared" si="6"/>
        <v>2</v>
      </c>
      <c r="AX21">
        <f t="shared" si="7"/>
        <v>4</v>
      </c>
      <c r="AY21">
        <f t="shared" si="8"/>
        <v>4</v>
      </c>
      <c r="AZ21">
        <f t="shared" si="9"/>
        <v>28</v>
      </c>
      <c r="BA21">
        <f t="shared" si="10"/>
        <v>26</v>
      </c>
      <c r="BB21" s="28">
        <v>37000</v>
      </c>
      <c r="BC21" s="29">
        <f t="shared" si="11"/>
        <v>1321.4285714285713</v>
      </c>
      <c r="BD21" s="28">
        <f t="shared" si="12"/>
        <v>2642.8571428571427</v>
      </c>
      <c r="BE21" s="28">
        <f t="shared" si="13"/>
        <v>34357.142857142855</v>
      </c>
    </row>
    <row r="22" spans="4:59" ht="15.6" x14ac:dyDescent="0.3">
      <c r="D22" s="42"/>
      <c r="E22" s="42"/>
      <c r="F22" s="42"/>
      <c r="G22" s="9">
        <v>14</v>
      </c>
      <c r="H22" s="10">
        <v>1014</v>
      </c>
      <c r="I22" s="11" t="s">
        <v>16</v>
      </c>
      <c r="J22" s="16">
        <f t="shared" si="3"/>
        <v>4</v>
      </c>
      <c r="K22" s="17" t="s">
        <v>43</v>
      </c>
      <c r="L22" s="17" t="str">
        <f t="shared" si="15"/>
        <v>WO</v>
      </c>
      <c r="M22" s="17" t="s">
        <v>43</v>
      </c>
      <c r="N22" s="17" t="s">
        <v>41</v>
      </c>
      <c r="O22" s="17" t="s">
        <v>43</v>
      </c>
      <c r="P22" s="17" t="s">
        <v>43</v>
      </c>
      <c r="Q22" s="17" t="s">
        <v>43</v>
      </c>
      <c r="R22" s="17" t="s">
        <v>43</v>
      </c>
      <c r="S22" s="17" t="str">
        <f t="shared" si="15"/>
        <v>WO</v>
      </c>
      <c r="T22" s="17" t="s">
        <v>43</v>
      </c>
      <c r="U22" s="17" t="s">
        <v>43</v>
      </c>
      <c r="V22" s="17" t="s">
        <v>41</v>
      </c>
      <c r="W22" s="17" t="s">
        <v>43</v>
      </c>
      <c r="X22" s="17" t="s">
        <v>43</v>
      </c>
      <c r="Y22" s="17" t="s">
        <v>43</v>
      </c>
      <c r="Z22" s="17" t="str">
        <f t="shared" si="15"/>
        <v>WO</v>
      </c>
      <c r="AA22" s="17" t="s">
        <v>43</v>
      </c>
      <c r="AB22" s="17" t="s">
        <v>43</v>
      </c>
      <c r="AC22" s="17" t="s">
        <v>43</v>
      </c>
      <c r="AD22" s="17" t="s">
        <v>43</v>
      </c>
      <c r="AE22" s="17" t="s">
        <v>43</v>
      </c>
      <c r="AF22" s="17" t="s">
        <v>41</v>
      </c>
      <c r="AG22" s="17" t="str">
        <f t="shared" si="14"/>
        <v>WO</v>
      </c>
      <c r="AH22" s="17" t="s">
        <v>43</v>
      </c>
      <c r="AI22" s="17" t="s">
        <v>43</v>
      </c>
      <c r="AJ22" s="17" t="s">
        <v>43</v>
      </c>
      <c r="AK22" s="17" t="s">
        <v>43</v>
      </c>
      <c r="AL22" s="17" t="s">
        <v>41</v>
      </c>
      <c r="AM22" s="17"/>
      <c r="AN22" s="23"/>
      <c r="AO22" s="18"/>
      <c r="AP22" s="42"/>
      <c r="AQ22" s="42"/>
      <c r="AR22" s="3">
        <v>14</v>
      </c>
      <c r="AS22" s="3">
        <v>1014</v>
      </c>
      <c r="AT22" s="3" t="str">
        <f t="shared" si="4"/>
        <v>February</v>
      </c>
      <c r="AU22" s="36" t="s">
        <v>16</v>
      </c>
      <c r="AV22">
        <f t="shared" si="5"/>
        <v>20</v>
      </c>
      <c r="AW22">
        <f t="shared" si="6"/>
        <v>0</v>
      </c>
      <c r="AX22">
        <f t="shared" si="7"/>
        <v>4</v>
      </c>
      <c r="AY22">
        <f t="shared" si="8"/>
        <v>4</v>
      </c>
      <c r="AZ22">
        <f t="shared" si="9"/>
        <v>28</v>
      </c>
      <c r="BA22">
        <f t="shared" si="10"/>
        <v>28</v>
      </c>
      <c r="BB22" s="28">
        <v>41000</v>
      </c>
      <c r="BC22" s="29">
        <f t="shared" si="11"/>
        <v>1464.2857142857142</v>
      </c>
      <c r="BD22" s="28">
        <f t="shared" si="12"/>
        <v>0</v>
      </c>
      <c r="BE22" s="28">
        <f t="shared" si="13"/>
        <v>41000</v>
      </c>
    </row>
    <row r="23" spans="4:59" ht="15.6" x14ac:dyDescent="0.3">
      <c r="D23" s="42"/>
      <c r="E23" s="42"/>
      <c r="F23" s="42"/>
      <c r="G23" s="9">
        <v>15</v>
      </c>
      <c r="H23" s="10">
        <v>1015</v>
      </c>
      <c r="I23" s="11" t="s">
        <v>17</v>
      </c>
      <c r="J23" s="16">
        <f t="shared" si="3"/>
        <v>4</v>
      </c>
      <c r="K23" s="17" t="s">
        <v>43</v>
      </c>
      <c r="L23" s="17" t="str">
        <f t="shared" si="15"/>
        <v>WO</v>
      </c>
      <c r="M23" s="17" t="s">
        <v>43</v>
      </c>
      <c r="N23" s="17" t="s">
        <v>41</v>
      </c>
      <c r="O23" s="17" t="s">
        <v>44</v>
      </c>
      <c r="P23" s="17" t="s">
        <v>43</v>
      </c>
      <c r="Q23" s="17" t="s">
        <v>43</v>
      </c>
      <c r="R23" s="17" t="s">
        <v>43</v>
      </c>
      <c r="S23" s="17" t="str">
        <f t="shared" si="15"/>
        <v>WO</v>
      </c>
      <c r="T23" s="17" t="s">
        <v>43</v>
      </c>
      <c r="U23" s="17" t="s">
        <v>43</v>
      </c>
      <c r="V23" s="17" t="s">
        <v>41</v>
      </c>
      <c r="W23" s="17" t="s">
        <v>44</v>
      </c>
      <c r="X23" s="17" t="s">
        <v>43</v>
      </c>
      <c r="Y23" s="17" t="s">
        <v>43</v>
      </c>
      <c r="Z23" s="17" t="str">
        <f t="shared" si="15"/>
        <v>WO</v>
      </c>
      <c r="AA23" s="17" t="s">
        <v>43</v>
      </c>
      <c r="AB23" s="17" t="s">
        <v>43</v>
      </c>
      <c r="AC23" s="17" t="s">
        <v>43</v>
      </c>
      <c r="AD23" s="17" t="s">
        <v>43</v>
      </c>
      <c r="AE23" s="17" t="s">
        <v>43</v>
      </c>
      <c r="AF23" s="17" t="s">
        <v>41</v>
      </c>
      <c r="AG23" s="17" t="str">
        <f t="shared" si="14"/>
        <v>WO</v>
      </c>
      <c r="AH23" s="17" t="s">
        <v>43</v>
      </c>
      <c r="AI23" s="17" t="s">
        <v>43</v>
      </c>
      <c r="AJ23" s="17" t="s">
        <v>43</v>
      </c>
      <c r="AK23" s="17" t="s">
        <v>43</v>
      </c>
      <c r="AL23" s="17" t="s">
        <v>41</v>
      </c>
      <c r="AM23" s="17"/>
      <c r="AN23" s="23"/>
      <c r="AO23" s="18"/>
      <c r="AP23" s="42"/>
      <c r="AQ23" s="42"/>
      <c r="AR23" s="3">
        <v>15</v>
      </c>
      <c r="AS23" s="3">
        <v>1015</v>
      </c>
      <c r="AT23" s="3" t="str">
        <f t="shared" si="4"/>
        <v>February</v>
      </c>
      <c r="AU23" s="36" t="s">
        <v>17</v>
      </c>
      <c r="AV23">
        <f t="shared" si="5"/>
        <v>18</v>
      </c>
      <c r="AW23">
        <f t="shared" si="6"/>
        <v>2</v>
      </c>
      <c r="AX23">
        <f t="shared" si="7"/>
        <v>4</v>
      </c>
      <c r="AY23">
        <f t="shared" si="8"/>
        <v>4</v>
      </c>
      <c r="AZ23">
        <f t="shared" si="9"/>
        <v>28</v>
      </c>
      <c r="BA23">
        <f t="shared" si="10"/>
        <v>26</v>
      </c>
      <c r="BB23" s="28">
        <v>45000</v>
      </c>
      <c r="BC23" s="29">
        <f t="shared" si="11"/>
        <v>1607.1428571428571</v>
      </c>
      <c r="BD23" s="28">
        <f t="shared" si="12"/>
        <v>3214.2857142857142</v>
      </c>
      <c r="BE23" s="28">
        <f t="shared" si="13"/>
        <v>41785.714285714283</v>
      </c>
    </row>
    <row r="24" spans="4:59" ht="15.6" x14ac:dyDescent="0.3">
      <c r="D24" s="42"/>
      <c r="E24" s="42"/>
      <c r="F24" s="42"/>
      <c r="G24" s="9">
        <v>16</v>
      </c>
      <c r="H24" s="10">
        <v>1016</v>
      </c>
      <c r="I24" s="11" t="s">
        <v>18</v>
      </c>
      <c r="J24" s="16">
        <f t="shared" si="3"/>
        <v>4</v>
      </c>
      <c r="K24" s="17" t="s">
        <v>43</v>
      </c>
      <c r="L24" s="17" t="str">
        <f t="shared" si="15"/>
        <v>WO</v>
      </c>
      <c r="M24" s="17" t="s">
        <v>43</v>
      </c>
      <c r="N24" s="17" t="s">
        <v>41</v>
      </c>
      <c r="O24" s="17" t="s">
        <v>43</v>
      </c>
      <c r="P24" s="17" t="s">
        <v>43</v>
      </c>
      <c r="Q24" s="17" t="s">
        <v>43</v>
      </c>
      <c r="R24" s="17" t="s">
        <v>43</v>
      </c>
      <c r="S24" s="17" t="str">
        <f t="shared" si="15"/>
        <v>WO</v>
      </c>
      <c r="T24" s="17" t="s">
        <v>43</v>
      </c>
      <c r="U24" s="17" t="s">
        <v>43</v>
      </c>
      <c r="V24" s="17" t="s">
        <v>41</v>
      </c>
      <c r="W24" s="17" t="s">
        <v>43</v>
      </c>
      <c r="X24" s="17" t="s">
        <v>43</v>
      </c>
      <c r="Y24" s="17" t="s">
        <v>43</v>
      </c>
      <c r="Z24" s="17" t="str">
        <f t="shared" si="15"/>
        <v>WO</v>
      </c>
      <c r="AA24" s="17" t="s">
        <v>43</v>
      </c>
      <c r="AB24" s="17" t="s">
        <v>43</v>
      </c>
      <c r="AC24" s="17" t="s">
        <v>43</v>
      </c>
      <c r="AD24" s="17" t="s">
        <v>43</v>
      </c>
      <c r="AE24" s="17" t="s">
        <v>43</v>
      </c>
      <c r="AF24" s="17" t="s">
        <v>41</v>
      </c>
      <c r="AG24" s="17" t="str">
        <f t="shared" si="14"/>
        <v>WO</v>
      </c>
      <c r="AH24" s="17" t="s">
        <v>43</v>
      </c>
      <c r="AI24" s="17" t="s">
        <v>43</v>
      </c>
      <c r="AJ24" s="17" t="s">
        <v>43</v>
      </c>
      <c r="AK24" s="17" t="s">
        <v>43</v>
      </c>
      <c r="AL24" s="17" t="s">
        <v>41</v>
      </c>
      <c r="AM24" s="17"/>
      <c r="AN24" s="23"/>
      <c r="AO24" s="18"/>
      <c r="AP24" s="42"/>
      <c r="AQ24" s="42"/>
      <c r="AR24" s="3">
        <v>16</v>
      </c>
      <c r="AS24" s="3">
        <v>1016</v>
      </c>
      <c r="AT24" s="3" t="str">
        <f t="shared" si="4"/>
        <v>February</v>
      </c>
      <c r="AU24" s="36" t="s">
        <v>18</v>
      </c>
      <c r="AV24">
        <f t="shared" si="5"/>
        <v>20</v>
      </c>
      <c r="AW24">
        <f t="shared" si="6"/>
        <v>0</v>
      </c>
      <c r="AX24">
        <f t="shared" si="7"/>
        <v>4</v>
      </c>
      <c r="AY24">
        <f t="shared" si="8"/>
        <v>4</v>
      </c>
      <c r="AZ24">
        <f t="shared" si="9"/>
        <v>28</v>
      </c>
      <c r="BA24">
        <f t="shared" si="10"/>
        <v>28</v>
      </c>
      <c r="BB24" s="28">
        <v>21000</v>
      </c>
      <c r="BC24" s="29">
        <f t="shared" si="11"/>
        <v>750</v>
      </c>
      <c r="BD24" s="28">
        <f t="shared" si="12"/>
        <v>0</v>
      </c>
      <c r="BE24" s="28">
        <f t="shared" si="13"/>
        <v>21000</v>
      </c>
    </row>
    <row r="25" spans="4:59" ht="15.6" x14ac:dyDescent="0.3">
      <c r="D25" s="42"/>
      <c r="E25" s="42"/>
      <c r="F25" s="42"/>
      <c r="G25" s="9">
        <v>17</v>
      </c>
      <c r="H25" s="10">
        <v>1017</v>
      </c>
      <c r="I25" s="11" t="s">
        <v>19</v>
      </c>
      <c r="J25" s="16">
        <f t="shared" si="3"/>
        <v>4</v>
      </c>
      <c r="K25" s="17" t="s">
        <v>43</v>
      </c>
      <c r="L25" s="17" t="str">
        <f t="shared" si="15"/>
        <v>WO</v>
      </c>
      <c r="M25" s="17" t="s">
        <v>43</v>
      </c>
      <c r="N25" s="17" t="s">
        <v>41</v>
      </c>
      <c r="O25" s="17" t="s">
        <v>43</v>
      </c>
      <c r="P25" s="17" t="s">
        <v>43</v>
      </c>
      <c r="Q25" s="17" t="s">
        <v>44</v>
      </c>
      <c r="R25" s="17" t="s">
        <v>43</v>
      </c>
      <c r="S25" s="17" t="str">
        <f t="shared" si="15"/>
        <v>WO</v>
      </c>
      <c r="T25" s="17" t="s">
        <v>44</v>
      </c>
      <c r="U25" s="17" t="s">
        <v>43</v>
      </c>
      <c r="V25" s="17" t="s">
        <v>41</v>
      </c>
      <c r="W25" s="17" t="s">
        <v>43</v>
      </c>
      <c r="X25" s="17" t="s">
        <v>43</v>
      </c>
      <c r="Y25" s="17" t="s">
        <v>43</v>
      </c>
      <c r="Z25" s="17" t="str">
        <f t="shared" si="15"/>
        <v>WO</v>
      </c>
      <c r="AA25" s="17" t="s">
        <v>44</v>
      </c>
      <c r="AB25" s="17" t="s">
        <v>43</v>
      </c>
      <c r="AC25" s="17" t="s">
        <v>43</v>
      </c>
      <c r="AD25" s="17" t="s">
        <v>43</v>
      </c>
      <c r="AE25" s="17" t="s">
        <v>43</v>
      </c>
      <c r="AF25" s="17" t="s">
        <v>41</v>
      </c>
      <c r="AG25" s="17" t="str">
        <f t="shared" si="14"/>
        <v>WO</v>
      </c>
      <c r="AH25" s="17" t="s">
        <v>43</v>
      </c>
      <c r="AI25" s="17" t="s">
        <v>43</v>
      </c>
      <c r="AJ25" s="17" t="s">
        <v>43</v>
      </c>
      <c r="AK25" s="17" t="s">
        <v>43</v>
      </c>
      <c r="AL25" s="17" t="s">
        <v>41</v>
      </c>
      <c r="AM25" s="17"/>
      <c r="AN25" s="23"/>
      <c r="AO25" s="18"/>
      <c r="AP25" s="42"/>
      <c r="AQ25" s="42"/>
      <c r="AR25" s="3">
        <v>17</v>
      </c>
      <c r="AS25" s="3">
        <v>1017</v>
      </c>
      <c r="AT25" s="3" t="str">
        <f t="shared" si="4"/>
        <v>February</v>
      </c>
      <c r="AU25" s="36" t="s">
        <v>19</v>
      </c>
      <c r="AV25">
        <f t="shared" si="5"/>
        <v>17</v>
      </c>
      <c r="AW25">
        <f t="shared" si="6"/>
        <v>3</v>
      </c>
      <c r="AX25">
        <f t="shared" si="7"/>
        <v>4</v>
      </c>
      <c r="AY25">
        <f t="shared" si="8"/>
        <v>4</v>
      </c>
      <c r="AZ25">
        <f t="shared" si="9"/>
        <v>28</v>
      </c>
      <c r="BA25">
        <f t="shared" si="10"/>
        <v>25</v>
      </c>
      <c r="BB25" s="28">
        <v>26000</v>
      </c>
      <c r="BC25" s="29">
        <f t="shared" si="11"/>
        <v>928.57142857142856</v>
      </c>
      <c r="BD25" s="28">
        <f t="shared" si="12"/>
        <v>2785.7142857142858</v>
      </c>
      <c r="BE25" s="28">
        <f t="shared" si="13"/>
        <v>23214.285714285714</v>
      </c>
    </row>
    <row r="26" spans="4:59" ht="15.6" x14ac:dyDescent="0.3">
      <c r="D26" s="42"/>
      <c r="E26" s="42"/>
      <c r="F26" s="42"/>
      <c r="G26" s="9">
        <v>18</v>
      </c>
      <c r="H26" s="10">
        <v>1018</v>
      </c>
      <c r="I26" s="11" t="s">
        <v>20</v>
      </c>
      <c r="J26" s="16">
        <f t="shared" si="3"/>
        <v>4</v>
      </c>
      <c r="K26" s="17" t="s">
        <v>43</v>
      </c>
      <c r="L26" s="17" t="str">
        <f t="shared" si="15"/>
        <v>WO</v>
      </c>
      <c r="M26" s="17" t="s">
        <v>43</v>
      </c>
      <c r="N26" s="17" t="s">
        <v>41</v>
      </c>
      <c r="O26" s="17" t="s">
        <v>43</v>
      </c>
      <c r="P26" s="17" t="s">
        <v>43</v>
      </c>
      <c r="Q26" s="17" t="s">
        <v>43</v>
      </c>
      <c r="R26" s="17" t="s">
        <v>43</v>
      </c>
      <c r="S26" s="17" t="str">
        <f t="shared" si="15"/>
        <v>WO</v>
      </c>
      <c r="T26" s="17" t="s">
        <v>43</v>
      </c>
      <c r="U26" s="17" t="s">
        <v>43</v>
      </c>
      <c r="V26" s="17" t="s">
        <v>41</v>
      </c>
      <c r="W26" s="17" t="s">
        <v>43</v>
      </c>
      <c r="X26" s="17" t="s">
        <v>43</v>
      </c>
      <c r="Y26" s="17" t="s">
        <v>44</v>
      </c>
      <c r="Z26" s="17" t="str">
        <f t="shared" si="15"/>
        <v>WO</v>
      </c>
      <c r="AA26" s="17" t="s">
        <v>43</v>
      </c>
      <c r="AB26" s="17" t="s">
        <v>43</v>
      </c>
      <c r="AC26" s="17" t="s">
        <v>43</v>
      </c>
      <c r="AD26" s="17" t="s">
        <v>43</v>
      </c>
      <c r="AE26" s="17" t="s">
        <v>43</v>
      </c>
      <c r="AF26" s="17" t="s">
        <v>41</v>
      </c>
      <c r="AG26" s="17" t="str">
        <f t="shared" si="14"/>
        <v>WO</v>
      </c>
      <c r="AH26" s="17" t="s">
        <v>43</v>
      </c>
      <c r="AI26" s="17" t="s">
        <v>43</v>
      </c>
      <c r="AJ26" s="17" t="s">
        <v>43</v>
      </c>
      <c r="AK26" s="17" t="s">
        <v>43</v>
      </c>
      <c r="AL26" s="17" t="s">
        <v>41</v>
      </c>
      <c r="AM26" s="17"/>
      <c r="AN26" s="23"/>
      <c r="AO26" s="18"/>
      <c r="AP26" s="42"/>
      <c r="AQ26" s="42"/>
      <c r="AR26" s="3">
        <v>18</v>
      </c>
      <c r="AS26" s="3">
        <v>1018</v>
      </c>
      <c r="AT26" s="3" t="str">
        <f t="shared" si="4"/>
        <v>February</v>
      </c>
      <c r="AU26" s="36" t="s">
        <v>20</v>
      </c>
      <c r="AV26">
        <f t="shared" si="5"/>
        <v>19</v>
      </c>
      <c r="AW26">
        <f t="shared" si="6"/>
        <v>1</v>
      </c>
      <c r="AX26">
        <f t="shared" si="7"/>
        <v>4</v>
      </c>
      <c r="AY26">
        <f t="shared" si="8"/>
        <v>4</v>
      </c>
      <c r="AZ26">
        <f t="shared" si="9"/>
        <v>28</v>
      </c>
      <c r="BA26">
        <f t="shared" si="10"/>
        <v>27</v>
      </c>
      <c r="BB26" s="28">
        <v>35000</v>
      </c>
      <c r="BC26" s="29">
        <f t="shared" si="11"/>
        <v>1250</v>
      </c>
      <c r="BD26" s="28">
        <f t="shared" si="12"/>
        <v>1250</v>
      </c>
      <c r="BE26" s="28">
        <f t="shared" si="13"/>
        <v>33750</v>
      </c>
    </row>
    <row r="27" spans="4:59" ht="15.6" x14ac:dyDescent="0.3">
      <c r="D27" s="42"/>
      <c r="E27" s="42"/>
      <c r="F27" s="42"/>
      <c r="G27" s="9">
        <v>19</v>
      </c>
      <c r="H27" s="10">
        <v>1019</v>
      </c>
      <c r="I27" s="11" t="s">
        <v>21</v>
      </c>
      <c r="J27" s="16">
        <f t="shared" si="3"/>
        <v>4</v>
      </c>
      <c r="K27" s="17" t="s">
        <v>43</v>
      </c>
      <c r="L27" s="17" t="str">
        <f t="shared" si="15"/>
        <v>WO</v>
      </c>
      <c r="M27" s="17" t="s">
        <v>43</v>
      </c>
      <c r="N27" s="17" t="s">
        <v>41</v>
      </c>
      <c r="O27" s="17" t="s">
        <v>43</v>
      </c>
      <c r="P27" s="17" t="s">
        <v>43</v>
      </c>
      <c r="Q27" s="17" t="s">
        <v>43</v>
      </c>
      <c r="R27" s="17" t="s">
        <v>43</v>
      </c>
      <c r="S27" s="17" t="str">
        <f t="shared" si="15"/>
        <v>WO</v>
      </c>
      <c r="T27" s="17" t="s">
        <v>43</v>
      </c>
      <c r="U27" s="17" t="s">
        <v>43</v>
      </c>
      <c r="V27" s="17" t="s">
        <v>41</v>
      </c>
      <c r="W27" s="17" t="s">
        <v>43</v>
      </c>
      <c r="X27" s="17" t="s">
        <v>43</v>
      </c>
      <c r="Y27" s="17" t="s">
        <v>43</v>
      </c>
      <c r="Z27" s="17" t="str">
        <f t="shared" si="15"/>
        <v>WO</v>
      </c>
      <c r="AA27" s="17" t="s">
        <v>43</v>
      </c>
      <c r="AB27" s="17" t="s">
        <v>43</v>
      </c>
      <c r="AC27" s="17" t="s">
        <v>43</v>
      </c>
      <c r="AD27" s="17" t="s">
        <v>43</v>
      </c>
      <c r="AE27" s="17" t="s">
        <v>43</v>
      </c>
      <c r="AF27" s="17" t="s">
        <v>41</v>
      </c>
      <c r="AG27" s="17" t="str">
        <f t="shared" si="14"/>
        <v>WO</v>
      </c>
      <c r="AH27" s="17" t="s">
        <v>44</v>
      </c>
      <c r="AI27" s="17" t="s">
        <v>43</v>
      </c>
      <c r="AJ27" s="17" t="s">
        <v>43</v>
      </c>
      <c r="AK27" s="17" t="s">
        <v>43</v>
      </c>
      <c r="AL27" s="17" t="s">
        <v>41</v>
      </c>
      <c r="AM27" s="17"/>
      <c r="AN27" s="23"/>
      <c r="AO27" s="18"/>
      <c r="AP27" s="42"/>
      <c r="AQ27" s="42"/>
      <c r="AR27" s="3">
        <v>19</v>
      </c>
      <c r="AS27" s="3">
        <v>1019</v>
      </c>
      <c r="AT27" s="3" t="str">
        <f t="shared" si="4"/>
        <v>February</v>
      </c>
      <c r="AU27" s="36" t="s">
        <v>21</v>
      </c>
      <c r="AV27">
        <f t="shared" si="5"/>
        <v>19</v>
      </c>
      <c r="AW27">
        <f t="shared" si="6"/>
        <v>1</v>
      </c>
      <c r="AX27">
        <f t="shared" si="7"/>
        <v>4</v>
      </c>
      <c r="AY27">
        <f t="shared" si="8"/>
        <v>4</v>
      </c>
      <c r="AZ27">
        <f t="shared" si="9"/>
        <v>28</v>
      </c>
      <c r="BA27">
        <f t="shared" si="10"/>
        <v>27</v>
      </c>
      <c r="BB27" s="28">
        <v>55000</v>
      </c>
      <c r="BC27" s="29">
        <f t="shared" si="11"/>
        <v>1964.2857142857142</v>
      </c>
      <c r="BD27" s="28">
        <f t="shared" si="12"/>
        <v>1964.2857142857142</v>
      </c>
      <c r="BE27" s="28">
        <f t="shared" si="13"/>
        <v>53035.714285714283</v>
      </c>
    </row>
    <row r="28" spans="4:59" ht="16.2" thickBot="1" x14ac:dyDescent="0.35">
      <c r="D28" s="42"/>
      <c r="E28" s="42"/>
      <c r="F28" s="42"/>
      <c r="G28" s="12">
        <v>20</v>
      </c>
      <c r="H28" s="13">
        <v>1020</v>
      </c>
      <c r="I28" s="14" t="s">
        <v>22</v>
      </c>
      <c r="J28" s="19">
        <f t="shared" si="3"/>
        <v>4</v>
      </c>
      <c r="K28" s="25" t="s">
        <v>43</v>
      </c>
      <c r="L28" s="25" t="str">
        <f t="shared" si="15"/>
        <v>WO</v>
      </c>
      <c r="M28" s="25" t="s">
        <v>43</v>
      </c>
      <c r="N28" s="25" t="s">
        <v>41</v>
      </c>
      <c r="O28" s="25" t="s">
        <v>43</v>
      </c>
      <c r="P28" s="25" t="s">
        <v>43</v>
      </c>
      <c r="Q28" s="25" t="s">
        <v>43</v>
      </c>
      <c r="R28" s="25" t="s">
        <v>43</v>
      </c>
      <c r="S28" s="25" t="str">
        <f t="shared" si="15"/>
        <v>WO</v>
      </c>
      <c r="T28" s="25" t="s">
        <v>43</v>
      </c>
      <c r="U28" s="25" t="s">
        <v>43</v>
      </c>
      <c r="V28" s="25" t="s">
        <v>41</v>
      </c>
      <c r="W28" s="25" t="s">
        <v>43</v>
      </c>
      <c r="X28" s="25" t="s">
        <v>43</v>
      </c>
      <c r="Y28" s="25" t="s">
        <v>43</v>
      </c>
      <c r="Z28" s="25" t="str">
        <f t="shared" si="15"/>
        <v>WO</v>
      </c>
      <c r="AA28" s="25" t="s">
        <v>43</v>
      </c>
      <c r="AB28" s="25" t="s">
        <v>43</v>
      </c>
      <c r="AC28" s="25" t="s">
        <v>43</v>
      </c>
      <c r="AD28" s="25" t="s">
        <v>44</v>
      </c>
      <c r="AE28" s="25" t="s">
        <v>43</v>
      </c>
      <c r="AF28" s="25" t="s">
        <v>41</v>
      </c>
      <c r="AG28" s="25" t="str">
        <f t="shared" si="14"/>
        <v>WO</v>
      </c>
      <c r="AH28" s="25" t="s">
        <v>43</v>
      </c>
      <c r="AI28" s="25" t="s">
        <v>43</v>
      </c>
      <c r="AJ28" s="25" t="s">
        <v>43</v>
      </c>
      <c r="AK28" s="25" t="s">
        <v>43</v>
      </c>
      <c r="AL28" s="25" t="s">
        <v>41</v>
      </c>
      <c r="AM28" s="25"/>
      <c r="AN28" s="25"/>
      <c r="AO28" s="26"/>
      <c r="AP28" s="42"/>
      <c r="AQ28" s="42"/>
      <c r="AR28" s="37">
        <v>20</v>
      </c>
      <c r="AS28" s="37">
        <v>1020</v>
      </c>
      <c r="AT28" s="37" t="str">
        <f t="shared" si="4"/>
        <v>February</v>
      </c>
      <c r="AU28" s="38" t="s">
        <v>22</v>
      </c>
      <c r="AV28" s="33">
        <f t="shared" si="5"/>
        <v>19</v>
      </c>
      <c r="AW28" s="33">
        <f t="shared" si="6"/>
        <v>1</v>
      </c>
      <c r="AX28" s="33">
        <f t="shared" si="7"/>
        <v>4</v>
      </c>
      <c r="AY28" s="33">
        <f t="shared" si="8"/>
        <v>4</v>
      </c>
      <c r="AZ28" s="33">
        <f t="shared" si="9"/>
        <v>28</v>
      </c>
      <c r="BA28" s="33">
        <f t="shared" si="10"/>
        <v>27</v>
      </c>
      <c r="BB28" s="34">
        <v>44000</v>
      </c>
      <c r="BC28" s="35">
        <f t="shared" si="11"/>
        <v>1571.4285714285713</v>
      </c>
      <c r="BD28" s="34">
        <f t="shared" si="12"/>
        <v>1571.4285714285713</v>
      </c>
      <c r="BE28" s="34">
        <f t="shared" si="13"/>
        <v>42428.571428571428</v>
      </c>
    </row>
    <row r="29" spans="4:59" x14ac:dyDescent="0.3"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</row>
    <row r="30" spans="4:59" x14ac:dyDescent="0.3"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</row>
    <row r="31" spans="4:59" x14ac:dyDescent="0.3"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</row>
    <row r="32" spans="4:59" x14ac:dyDescent="0.3"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</row>
    <row r="33" spans="4:59" x14ac:dyDescent="0.3"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</row>
    <row r="34" spans="4:59" x14ac:dyDescent="0.3"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4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</row>
    <row r="35" spans="4:59" x14ac:dyDescent="0.3"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</row>
    <row r="36" spans="4:59" x14ac:dyDescent="0.3"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</row>
    <row r="37" spans="4:59" x14ac:dyDescent="0.3"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</row>
    <row r="38" spans="4:59" x14ac:dyDescent="0.3"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</row>
    <row r="39" spans="4:59" x14ac:dyDescent="0.3"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</row>
    <row r="40" spans="4:59" x14ac:dyDescent="0.3"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</row>
    <row r="41" spans="4:59" x14ac:dyDescent="0.3"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</row>
    <row r="42" spans="4:59" x14ac:dyDescent="0.3"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</row>
    <row r="43" spans="4:59" x14ac:dyDescent="0.3"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</row>
    <row r="44" spans="4:59" x14ac:dyDescent="0.3"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</row>
  </sheetData>
  <mergeCells count="1">
    <mergeCell ref="G7:I7"/>
  </mergeCells>
  <conditionalFormatting sqref="K9:AO28">
    <cfRule type="containsText" dxfId="43" priority="1" operator="containsText" text="L">
      <formula>NOT(ISERROR(SEARCH("L",K9)))</formula>
    </cfRule>
    <cfRule type="containsText" dxfId="42" priority="2" operator="containsText" text="A">
      <formula>NOT(ISERROR(SEARCH("A",K9)))</formula>
    </cfRule>
    <cfRule type="containsText" dxfId="41" priority="3" operator="containsText" text="P">
      <formula>NOT(ISERROR(SEARCH("P",K9)))</formula>
    </cfRule>
    <cfRule type="containsText" dxfId="40" priority="4" operator="containsText" text="WO">
      <formula>NOT(ISERROR(SEARCH("WO",K9)))</formula>
    </cfRule>
  </conditionalFormatting>
  <dataValidations count="1">
    <dataValidation type="list" allowBlank="1" showInputMessage="1" showErrorMessage="1" sqref="K9:K28 M9:R28 T9:Y28 AA9:AF28 AH9:AL28" xr:uid="{E9ACBFA7-2622-4DC0-9D8D-2C53515CD50D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F59ED9-4B77-4F17-AD3B-FE714F1B2463}">
          <x14:formula1>
            <xm:f>Rough!$A$1:$A$12</xm:f>
          </x14:formula1>
          <xm:sqref>H5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C6229-F759-4AA9-A61A-79ED24BDC7FB}">
  <dimension ref="D1:BG44"/>
  <sheetViews>
    <sheetView topLeftCell="AA1" zoomScaleNormal="100" workbookViewId="0">
      <selection activeCell="AS16" sqref="AS16"/>
    </sheetView>
  </sheetViews>
  <sheetFormatPr defaultRowHeight="14.4" x14ac:dyDescent="0.3"/>
  <cols>
    <col min="7" max="7" width="9.6640625" customWidth="1"/>
    <col min="8" max="8" width="14.88671875" customWidth="1"/>
    <col min="9" max="9" width="20.21875" customWidth="1"/>
    <col min="10" max="10" width="10" bestFit="1" customWidth="1"/>
    <col min="11" max="11" width="4.21875" bestFit="1" customWidth="1"/>
    <col min="12" max="12" width="4.77734375" bestFit="1" customWidth="1"/>
    <col min="13" max="13" width="5.21875" bestFit="1" customWidth="1"/>
    <col min="14" max="14" width="4.6640625" bestFit="1" customWidth="1"/>
    <col min="15" max="15" width="5.44140625" bestFit="1" customWidth="1"/>
    <col min="16" max="16" width="4.77734375" bestFit="1" customWidth="1"/>
    <col min="17" max="17" width="3.88671875" bestFit="1" customWidth="1"/>
    <col min="18" max="18" width="4.21875" bestFit="1" customWidth="1"/>
    <col min="19" max="19" width="4.77734375" bestFit="1" customWidth="1"/>
    <col min="20" max="20" width="5.21875" bestFit="1" customWidth="1"/>
    <col min="21" max="21" width="4.6640625" bestFit="1" customWidth="1"/>
    <col min="22" max="22" width="5.44140625" bestFit="1" customWidth="1"/>
    <col min="23" max="23" width="4.77734375" bestFit="1" customWidth="1"/>
    <col min="24" max="24" width="3.88671875" bestFit="1" customWidth="1"/>
    <col min="25" max="25" width="4.21875" bestFit="1" customWidth="1"/>
    <col min="26" max="26" width="4.77734375" bestFit="1" customWidth="1"/>
    <col min="27" max="27" width="5.21875" bestFit="1" customWidth="1"/>
    <col min="28" max="28" width="4.6640625" bestFit="1" customWidth="1"/>
    <col min="29" max="29" width="5.44140625" bestFit="1" customWidth="1"/>
    <col min="30" max="30" width="4.77734375" bestFit="1" customWidth="1"/>
    <col min="31" max="31" width="3.88671875" bestFit="1" customWidth="1"/>
    <col min="32" max="32" width="4.21875" bestFit="1" customWidth="1"/>
    <col min="33" max="33" width="4.77734375" bestFit="1" customWidth="1"/>
    <col min="34" max="34" width="5.21875" bestFit="1" customWidth="1"/>
    <col min="35" max="35" width="4.6640625" bestFit="1" customWidth="1"/>
    <col min="36" max="36" width="5.44140625" bestFit="1" customWidth="1"/>
    <col min="37" max="37" width="4.77734375" bestFit="1" customWidth="1"/>
    <col min="38" max="38" width="3.88671875" bestFit="1" customWidth="1"/>
    <col min="39" max="39" width="4.21875" bestFit="1" customWidth="1"/>
    <col min="40" max="40" width="4.77734375" bestFit="1" customWidth="1"/>
    <col min="41" max="41" width="5.21875" bestFit="1" customWidth="1"/>
    <col min="44" max="44" width="7" customWidth="1"/>
    <col min="45" max="45" width="15.33203125" customWidth="1"/>
    <col min="46" max="46" width="12.5546875" customWidth="1"/>
    <col min="47" max="47" width="19" bestFit="1" customWidth="1"/>
    <col min="48" max="49" width="10.109375" customWidth="1"/>
    <col min="51" max="51" width="11.109375" customWidth="1"/>
    <col min="53" max="53" width="12.5546875" customWidth="1"/>
    <col min="54" max="54" width="12" bestFit="1" customWidth="1"/>
    <col min="55" max="55" width="16.77734375" customWidth="1"/>
    <col min="56" max="56" width="12.5546875" customWidth="1"/>
    <col min="57" max="57" width="14.44140625" customWidth="1"/>
  </cols>
  <sheetData>
    <row r="1" spans="4:59" x14ac:dyDescent="0.3">
      <c r="AQ1" s="42"/>
    </row>
    <row r="2" spans="4:59" x14ac:dyDescent="0.3">
      <c r="AQ2" s="42"/>
    </row>
    <row r="3" spans="4:59" x14ac:dyDescent="0.3">
      <c r="AQ3" s="42"/>
    </row>
    <row r="4" spans="4:59" x14ac:dyDescent="0.3">
      <c r="D4" s="42"/>
      <c r="E4" s="42"/>
      <c r="F4" s="42"/>
      <c r="G4" s="42"/>
      <c r="H4" s="42"/>
      <c r="I4" s="42">
        <f>(DATEDIF($H$5,$H$6,"D")+1)</f>
        <v>31</v>
      </c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</row>
    <row r="5" spans="4:59" x14ac:dyDescent="0.3">
      <c r="D5" s="42"/>
      <c r="E5" s="42"/>
      <c r="F5" s="42"/>
      <c r="G5" s="42" t="s">
        <v>26</v>
      </c>
      <c r="H5" s="43">
        <v>45717</v>
      </c>
      <c r="I5" s="42" t="str">
        <f>TEXT(H5,"MMMM")</f>
        <v>March</v>
      </c>
      <c r="J5" s="42"/>
      <c r="K5" s="42"/>
      <c r="L5" s="42"/>
      <c r="M5" s="43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</row>
    <row r="6" spans="4:59" ht="15" thickBot="1" x14ac:dyDescent="0.35">
      <c r="D6" s="42"/>
      <c r="E6" s="42"/>
      <c r="F6" s="42"/>
      <c r="G6" s="42" t="s">
        <v>27</v>
      </c>
      <c r="H6" s="43">
        <f>EOMONTH(H5,0)</f>
        <v>45747</v>
      </c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</row>
    <row r="7" spans="4:59" ht="15.6" x14ac:dyDescent="0.3">
      <c r="D7" s="42"/>
      <c r="E7" s="42"/>
      <c r="F7" s="42"/>
      <c r="G7" s="83" t="s">
        <v>29</v>
      </c>
      <c r="H7" s="84"/>
      <c r="I7" s="84"/>
      <c r="J7" s="55" t="s">
        <v>28</v>
      </c>
      <c r="K7" s="55" t="str">
        <f>TEXT(K8,"DDD")</f>
        <v>Sat</v>
      </c>
      <c r="L7" s="55" t="str">
        <f t="shared" ref="L7:AO7" si="0">TEXT(L8,"DDD")</f>
        <v>Sun</v>
      </c>
      <c r="M7" s="55" t="str">
        <f t="shared" si="0"/>
        <v>Mon</v>
      </c>
      <c r="N7" s="55" t="str">
        <f t="shared" si="0"/>
        <v>Tue</v>
      </c>
      <c r="O7" s="55" t="str">
        <f t="shared" si="0"/>
        <v>Wed</v>
      </c>
      <c r="P7" s="55" t="str">
        <f t="shared" si="0"/>
        <v>Thu</v>
      </c>
      <c r="Q7" s="55" t="str">
        <f t="shared" si="0"/>
        <v>Fri</v>
      </c>
      <c r="R7" s="55" t="str">
        <f t="shared" si="0"/>
        <v>Sat</v>
      </c>
      <c r="S7" s="55" t="str">
        <f t="shared" si="0"/>
        <v>Sun</v>
      </c>
      <c r="T7" s="55" t="str">
        <f t="shared" si="0"/>
        <v>Mon</v>
      </c>
      <c r="U7" s="55" t="str">
        <f t="shared" si="0"/>
        <v>Tue</v>
      </c>
      <c r="V7" s="55" t="str">
        <f t="shared" si="0"/>
        <v>Wed</v>
      </c>
      <c r="W7" s="55" t="str">
        <f t="shared" si="0"/>
        <v>Thu</v>
      </c>
      <c r="X7" s="55" t="str">
        <f t="shared" si="0"/>
        <v>Fri</v>
      </c>
      <c r="Y7" s="55" t="str">
        <f t="shared" si="0"/>
        <v>Sat</v>
      </c>
      <c r="Z7" s="55" t="str">
        <f t="shared" si="0"/>
        <v>Sun</v>
      </c>
      <c r="AA7" s="55" t="str">
        <f t="shared" si="0"/>
        <v>Mon</v>
      </c>
      <c r="AB7" s="55" t="str">
        <f t="shared" si="0"/>
        <v>Tue</v>
      </c>
      <c r="AC7" s="55" t="str">
        <f t="shared" si="0"/>
        <v>Wed</v>
      </c>
      <c r="AD7" s="55" t="str">
        <f t="shared" si="0"/>
        <v>Thu</v>
      </c>
      <c r="AE7" s="55" t="str">
        <f t="shared" si="0"/>
        <v>Fri</v>
      </c>
      <c r="AF7" s="55" t="str">
        <f t="shared" si="0"/>
        <v>Sat</v>
      </c>
      <c r="AG7" s="55" t="str">
        <f t="shared" si="0"/>
        <v>Sun</v>
      </c>
      <c r="AH7" s="55" t="str">
        <f t="shared" si="0"/>
        <v>Mon</v>
      </c>
      <c r="AI7" s="55" t="str">
        <f t="shared" si="0"/>
        <v>Tue</v>
      </c>
      <c r="AJ7" s="55" t="str">
        <f t="shared" si="0"/>
        <v>Wed</v>
      </c>
      <c r="AK7" s="55" t="str">
        <f t="shared" si="0"/>
        <v>Thu</v>
      </c>
      <c r="AL7" s="55" t="str">
        <f t="shared" si="0"/>
        <v>Fri</v>
      </c>
      <c r="AM7" s="55" t="str">
        <f t="shared" si="0"/>
        <v>Sat</v>
      </c>
      <c r="AN7" s="55" t="str">
        <f t="shared" si="0"/>
        <v>Sun</v>
      </c>
      <c r="AO7" s="56" t="str">
        <f t="shared" si="0"/>
        <v>Mon</v>
      </c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</row>
    <row r="8" spans="4:59" ht="16.2" thickBot="1" x14ac:dyDescent="0.35">
      <c r="D8" s="42"/>
      <c r="E8" s="42"/>
      <c r="F8" s="42"/>
      <c r="G8" s="57" t="s">
        <v>0</v>
      </c>
      <c r="H8" s="7" t="s">
        <v>23</v>
      </c>
      <c r="I8" s="8" t="s">
        <v>24</v>
      </c>
      <c r="J8" s="45" t="s">
        <v>25</v>
      </c>
      <c r="K8" s="46">
        <f>H5</f>
        <v>45717</v>
      </c>
      <c r="L8" s="46">
        <f>IF(K8&lt;$H$6,K8+1,"")</f>
        <v>45718</v>
      </c>
      <c r="M8" s="46">
        <f t="shared" ref="M8:AO8" si="1">IF(L8&lt;$H$6,L8+1,"")</f>
        <v>45719</v>
      </c>
      <c r="N8" s="46">
        <f t="shared" si="1"/>
        <v>45720</v>
      </c>
      <c r="O8" s="46">
        <f t="shared" si="1"/>
        <v>45721</v>
      </c>
      <c r="P8" s="46">
        <f t="shared" si="1"/>
        <v>45722</v>
      </c>
      <c r="Q8" s="46">
        <f t="shared" si="1"/>
        <v>45723</v>
      </c>
      <c r="R8" s="46">
        <f t="shared" si="1"/>
        <v>45724</v>
      </c>
      <c r="S8" s="46">
        <f t="shared" si="1"/>
        <v>45725</v>
      </c>
      <c r="T8" s="46">
        <f t="shared" si="1"/>
        <v>45726</v>
      </c>
      <c r="U8" s="46">
        <f t="shared" si="1"/>
        <v>45727</v>
      </c>
      <c r="V8" s="46">
        <f t="shared" si="1"/>
        <v>45728</v>
      </c>
      <c r="W8" s="46">
        <f t="shared" si="1"/>
        <v>45729</v>
      </c>
      <c r="X8" s="46">
        <f t="shared" si="1"/>
        <v>45730</v>
      </c>
      <c r="Y8" s="46">
        <f t="shared" si="1"/>
        <v>45731</v>
      </c>
      <c r="Z8" s="46">
        <f t="shared" si="1"/>
        <v>45732</v>
      </c>
      <c r="AA8" s="46">
        <f t="shared" si="1"/>
        <v>45733</v>
      </c>
      <c r="AB8" s="46">
        <f t="shared" si="1"/>
        <v>45734</v>
      </c>
      <c r="AC8" s="46">
        <f>IF(AB8&lt;$H$6,AB8+1,"")</f>
        <v>45735</v>
      </c>
      <c r="AD8" s="46">
        <f t="shared" si="1"/>
        <v>45736</v>
      </c>
      <c r="AE8" s="46">
        <f t="shared" si="1"/>
        <v>45737</v>
      </c>
      <c r="AF8" s="46">
        <f t="shared" si="1"/>
        <v>45738</v>
      </c>
      <c r="AG8" s="46">
        <f t="shared" si="1"/>
        <v>45739</v>
      </c>
      <c r="AH8" s="46">
        <f t="shared" si="1"/>
        <v>45740</v>
      </c>
      <c r="AI8" s="46">
        <f t="shared" si="1"/>
        <v>45741</v>
      </c>
      <c r="AJ8" s="46">
        <f t="shared" si="1"/>
        <v>45742</v>
      </c>
      <c r="AK8" s="46">
        <f t="shared" si="1"/>
        <v>45743</v>
      </c>
      <c r="AL8" s="46">
        <f>IF(AK8&lt;$H$6,AK8+1,"")</f>
        <v>45744</v>
      </c>
      <c r="AM8" s="46">
        <f t="shared" si="1"/>
        <v>45745</v>
      </c>
      <c r="AN8" s="46">
        <f t="shared" si="1"/>
        <v>45746</v>
      </c>
      <c r="AO8" s="58">
        <f t="shared" si="1"/>
        <v>45747</v>
      </c>
      <c r="AP8" s="42"/>
      <c r="AQ8" s="42"/>
      <c r="AR8" s="27" t="s">
        <v>0</v>
      </c>
      <c r="AS8" s="27" t="s">
        <v>23</v>
      </c>
      <c r="AT8" s="27" t="s">
        <v>39</v>
      </c>
      <c r="AU8" s="39" t="s">
        <v>24</v>
      </c>
      <c r="AV8" s="40" t="s">
        <v>30</v>
      </c>
      <c r="AW8" s="41" t="s">
        <v>31</v>
      </c>
      <c r="AX8" s="41" t="s">
        <v>32</v>
      </c>
      <c r="AY8" s="41" t="s">
        <v>33</v>
      </c>
      <c r="AZ8" s="41" t="s">
        <v>28</v>
      </c>
      <c r="BA8" s="41" t="s">
        <v>34</v>
      </c>
      <c r="BB8" s="41" t="s">
        <v>35</v>
      </c>
      <c r="BC8" s="41" t="s">
        <v>36</v>
      </c>
      <c r="BD8" s="41" t="s">
        <v>37</v>
      </c>
      <c r="BE8" s="41" t="s">
        <v>38</v>
      </c>
    </row>
    <row r="9" spans="4:59" ht="15.6" x14ac:dyDescent="0.3">
      <c r="D9" s="42"/>
      <c r="E9" s="42"/>
      <c r="F9" s="42"/>
      <c r="G9" s="59">
        <v>1</v>
      </c>
      <c r="H9" s="10">
        <v>1001</v>
      </c>
      <c r="I9" s="11" t="s">
        <v>3</v>
      </c>
      <c r="J9" s="47">
        <f>COUNTIF($K$7:$AO$7,"sun")</f>
        <v>5</v>
      </c>
      <c r="K9" s="48" t="s">
        <v>43</v>
      </c>
      <c r="L9" s="48" t="str">
        <f t="shared" ref="L9:AN17" si="2">IF(L$7="sun","WO","")</f>
        <v>WO</v>
      </c>
      <c r="M9" s="48" t="s">
        <v>44</v>
      </c>
      <c r="N9" s="48" t="s">
        <v>43</v>
      </c>
      <c r="O9" s="48" t="s">
        <v>41</v>
      </c>
      <c r="P9" s="48" t="s">
        <v>44</v>
      </c>
      <c r="Q9" s="48" t="s">
        <v>43</v>
      </c>
      <c r="R9" s="48" t="s">
        <v>43</v>
      </c>
      <c r="S9" s="48" t="str">
        <f t="shared" si="2"/>
        <v>WO</v>
      </c>
      <c r="T9" s="48" t="s">
        <v>43</v>
      </c>
      <c r="U9" s="48" t="s">
        <v>44</v>
      </c>
      <c r="V9" s="48" t="s">
        <v>43</v>
      </c>
      <c r="W9" s="48" t="s">
        <v>43</v>
      </c>
      <c r="X9" s="48" t="s">
        <v>43</v>
      </c>
      <c r="Y9" s="48" t="s">
        <v>44</v>
      </c>
      <c r="Z9" s="48" t="str">
        <f t="shared" si="2"/>
        <v>WO</v>
      </c>
      <c r="AA9" s="48" t="s">
        <v>43</v>
      </c>
      <c r="AB9" s="48" t="s">
        <v>43</v>
      </c>
      <c r="AC9" s="48" t="s">
        <v>41</v>
      </c>
      <c r="AD9" s="48" t="s">
        <v>43</v>
      </c>
      <c r="AE9" s="48" t="s">
        <v>43</v>
      </c>
      <c r="AF9" s="48" t="s">
        <v>43</v>
      </c>
      <c r="AG9" s="48" t="str">
        <f t="shared" si="2"/>
        <v>WO</v>
      </c>
      <c r="AH9" s="48" t="s">
        <v>43</v>
      </c>
      <c r="AI9" s="48" t="s">
        <v>43</v>
      </c>
      <c r="AJ9" s="48" t="s">
        <v>43</v>
      </c>
      <c r="AK9" s="48" t="s">
        <v>43</v>
      </c>
      <c r="AL9" s="48" t="s">
        <v>44</v>
      </c>
      <c r="AM9" s="48" t="s">
        <v>41</v>
      </c>
      <c r="AN9" s="48" t="s">
        <v>45</v>
      </c>
      <c r="AO9" s="60" t="s">
        <v>43</v>
      </c>
      <c r="AP9" s="42"/>
      <c r="AQ9" s="42"/>
      <c r="AR9" s="3">
        <v>1</v>
      </c>
      <c r="AS9" s="3">
        <v>1001</v>
      </c>
      <c r="AT9" s="3" t="str">
        <f>$I$5</f>
        <v>March</v>
      </c>
      <c r="AU9" s="36" t="s">
        <v>3</v>
      </c>
      <c r="AV9" s="30">
        <f>COUNTIF($K9:$AO9,"P")</f>
        <v>18</v>
      </c>
      <c r="AW9" s="30">
        <f>COUNTIF($K9:$AO9,"A")</f>
        <v>5</v>
      </c>
      <c r="AX9" s="30">
        <f>COUNTIF($K9:$AO9,"L")</f>
        <v>3</v>
      </c>
      <c r="AY9" s="30">
        <f>$J$9</f>
        <v>5</v>
      </c>
      <c r="AZ9" s="30">
        <f>$I$4</f>
        <v>31</v>
      </c>
      <c r="BA9" s="30">
        <f>AZ9-AW9</f>
        <v>26</v>
      </c>
      <c r="BB9" s="31">
        <v>25000</v>
      </c>
      <c r="BC9" s="32">
        <f>BB9/AZ9</f>
        <v>806.45161290322585</v>
      </c>
      <c r="BD9" s="31">
        <f>BC9*AW9</f>
        <v>4032.2580645161293</v>
      </c>
      <c r="BE9" s="31">
        <f>BB9-BD9</f>
        <v>20967.741935483871</v>
      </c>
    </row>
    <row r="10" spans="4:59" ht="15.6" x14ac:dyDescent="0.3">
      <c r="D10" s="42"/>
      <c r="E10" s="42"/>
      <c r="F10" s="42"/>
      <c r="G10" s="59">
        <v>2</v>
      </c>
      <c r="H10" s="10">
        <v>1002</v>
      </c>
      <c r="I10" s="11" t="s">
        <v>4</v>
      </c>
      <c r="J10" s="49">
        <f t="shared" ref="J10:J28" si="3">COUNTIF($K$7:$AO$7,"sun")</f>
        <v>5</v>
      </c>
      <c r="K10" s="48" t="s">
        <v>43</v>
      </c>
      <c r="L10" s="2" t="str">
        <f t="shared" si="2"/>
        <v>WO</v>
      </c>
      <c r="M10" s="48" t="s">
        <v>43</v>
      </c>
      <c r="N10" s="48" t="s">
        <v>43</v>
      </c>
      <c r="O10" s="48" t="s">
        <v>41</v>
      </c>
      <c r="P10" s="48" t="s">
        <v>43</v>
      </c>
      <c r="Q10" s="48" t="s">
        <v>43</v>
      </c>
      <c r="R10" s="48" t="s">
        <v>43</v>
      </c>
      <c r="S10" s="2" t="str">
        <f t="shared" si="2"/>
        <v>WO</v>
      </c>
      <c r="T10" s="48" t="s">
        <v>44</v>
      </c>
      <c r="U10" s="48" t="s">
        <v>43</v>
      </c>
      <c r="V10" s="48" t="s">
        <v>43</v>
      </c>
      <c r="W10" s="48" t="s">
        <v>43</v>
      </c>
      <c r="X10" s="48" t="s">
        <v>43</v>
      </c>
      <c r="Y10" s="48" t="s">
        <v>43</v>
      </c>
      <c r="Z10" s="2" t="str">
        <f t="shared" si="2"/>
        <v>WO</v>
      </c>
      <c r="AA10" s="48" t="s">
        <v>43</v>
      </c>
      <c r="AB10" s="48" t="s">
        <v>43</v>
      </c>
      <c r="AC10" s="48" t="s">
        <v>41</v>
      </c>
      <c r="AD10" s="48" t="s">
        <v>43</v>
      </c>
      <c r="AE10" s="48" t="s">
        <v>43</v>
      </c>
      <c r="AF10" s="48" t="s">
        <v>44</v>
      </c>
      <c r="AG10" s="2" t="str">
        <f t="shared" si="2"/>
        <v>WO</v>
      </c>
      <c r="AH10" s="48" t="s">
        <v>43</v>
      </c>
      <c r="AI10" s="48" t="s">
        <v>43</v>
      </c>
      <c r="AJ10" s="48" t="s">
        <v>43</v>
      </c>
      <c r="AK10" s="48" t="s">
        <v>44</v>
      </c>
      <c r="AL10" s="48" t="s">
        <v>43</v>
      </c>
      <c r="AM10" s="48" t="s">
        <v>41</v>
      </c>
      <c r="AN10" s="2" t="str">
        <f t="shared" si="2"/>
        <v>WO</v>
      </c>
      <c r="AO10" s="60" t="s">
        <v>43</v>
      </c>
      <c r="AP10" s="42"/>
      <c r="AQ10" s="42"/>
      <c r="AR10" s="3">
        <v>2</v>
      </c>
      <c r="AS10" s="3">
        <v>1002</v>
      </c>
      <c r="AT10" s="3" t="str">
        <f t="shared" ref="AT10:AT28" si="4">$I$5</f>
        <v>March</v>
      </c>
      <c r="AU10" s="36" t="s">
        <v>4</v>
      </c>
      <c r="AV10">
        <f t="shared" ref="AV10:AV28" si="5">COUNTIF($K10:$AO10,"P")</f>
        <v>20</v>
      </c>
      <c r="AW10">
        <f t="shared" ref="AW10:AW28" si="6">COUNTIF($K10:$AO10,"A")</f>
        <v>3</v>
      </c>
      <c r="AX10">
        <f t="shared" ref="AX10:AX28" si="7">COUNTIF($K10:$AO10,"L")</f>
        <v>3</v>
      </c>
      <c r="AY10">
        <f t="shared" ref="AY10:AY28" si="8">$J$9</f>
        <v>5</v>
      </c>
      <c r="AZ10">
        <f t="shared" ref="AZ10:AZ28" si="9">$I$4</f>
        <v>31</v>
      </c>
      <c r="BA10">
        <f t="shared" ref="BA10:BA28" si="10">AZ10-AW10</f>
        <v>28</v>
      </c>
      <c r="BB10" s="28">
        <v>24000</v>
      </c>
      <c r="BC10" s="29">
        <f t="shared" ref="BC10:BC28" si="11">BB10/AZ10</f>
        <v>774.19354838709683</v>
      </c>
      <c r="BD10" s="28">
        <f t="shared" ref="BD10:BD28" si="12">BC10*AW10</f>
        <v>2322.5806451612907</v>
      </c>
      <c r="BE10" s="28">
        <f t="shared" ref="BE10:BE28" si="13">BB10-BD10</f>
        <v>21677.419354838708</v>
      </c>
    </row>
    <row r="11" spans="4:59" ht="15.6" x14ac:dyDescent="0.3">
      <c r="D11" s="42"/>
      <c r="E11" s="42"/>
      <c r="F11" s="42"/>
      <c r="G11" s="59">
        <v>3</v>
      </c>
      <c r="H11" s="10">
        <v>1003</v>
      </c>
      <c r="I11" s="11" t="s">
        <v>5</v>
      </c>
      <c r="J11" s="49">
        <f t="shared" si="3"/>
        <v>5</v>
      </c>
      <c r="K11" s="48" t="s">
        <v>43</v>
      </c>
      <c r="L11" s="2" t="str">
        <f t="shared" si="2"/>
        <v>WO</v>
      </c>
      <c r="M11" s="48" t="s">
        <v>43</v>
      </c>
      <c r="N11" s="48" t="s">
        <v>43</v>
      </c>
      <c r="O11" s="48" t="s">
        <v>41</v>
      </c>
      <c r="P11" s="48" t="s">
        <v>43</v>
      </c>
      <c r="Q11" s="48" t="s">
        <v>43</v>
      </c>
      <c r="R11" s="48" t="s">
        <v>43</v>
      </c>
      <c r="S11" s="2" t="str">
        <f t="shared" si="2"/>
        <v>WO</v>
      </c>
      <c r="T11" s="48" t="s">
        <v>43</v>
      </c>
      <c r="U11" s="48" t="s">
        <v>43</v>
      </c>
      <c r="V11" s="48" t="s">
        <v>43</v>
      </c>
      <c r="W11" s="48" t="s">
        <v>43</v>
      </c>
      <c r="X11" s="48" t="s">
        <v>43</v>
      </c>
      <c r="Y11" s="48" t="s">
        <v>44</v>
      </c>
      <c r="Z11" s="2" t="str">
        <f t="shared" si="2"/>
        <v>WO</v>
      </c>
      <c r="AA11" s="48" t="s">
        <v>43</v>
      </c>
      <c r="AB11" s="48" t="s">
        <v>43</v>
      </c>
      <c r="AC11" s="48" t="s">
        <v>41</v>
      </c>
      <c r="AD11" s="48" t="s">
        <v>44</v>
      </c>
      <c r="AE11" s="48" t="s">
        <v>43</v>
      </c>
      <c r="AF11" s="48" t="s">
        <v>43</v>
      </c>
      <c r="AG11" s="2" t="str">
        <f t="shared" si="2"/>
        <v>WO</v>
      </c>
      <c r="AH11" s="48" t="s">
        <v>44</v>
      </c>
      <c r="AI11" s="48" t="s">
        <v>43</v>
      </c>
      <c r="AJ11" s="48" t="s">
        <v>43</v>
      </c>
      <c r="AK11" s="48" t="s">
        <v>43</v>
      </c>
      <c r="AL11" s="48" t="s">
        <v>43</v>
      </c>
      <c r="AM11" s="48" t="s">
        <v>41</v>
      </c>
      <c r="AN11" s="2" t="str">
        <f t="shared" si="2"/>
        <v>WO</v>
      </c>
      <c r="AO11" s="60" t="s">
        <v>43</v>
      </c>
      <c r="AP11" s="42"/>
      <c r="AQ11" s="42"/>
      <c r="AR11" s="3">
        <v>3</v>
      </c>
      <c r="AS11" s="3">
        <v>1003</v>
      </c>
      <c r="AT11" s="3" t="str">
        <f t="shared" si="4"/>
        <v>March</v>
      </c>
      <c r="AU11" s="36" t="s">
        <v>5</v>
      </c>
      <c r="AV11">
        <f t="shared" si="5"/>
        <v>20</v>
      </c>
      <c r="AW11">
        <f t="shared" si="6"/>
        <v>3</v>
      </c>
      <c r="AX11">
        <f t="shared" si="7"/>
        <v>3</v>
      </c>
      <c r="AY11">
        <f t="shared" si="8"/>
        <v>5</v>
      </c>
      <c r="AZ11">
        <f t="shared" si="9"/>
        <v>31</v>
      </c>
      <c r="BA11">
        <f t="shared" si="10"/>
        <v>28</v>
      </c>
      <c r="BB11" s="28">
        <v>23000</v>
      </c>
      <c r="BC11" s="29">
        <f t="shared" si="11"/>
        <v>741.93548387096769</v>
      </c>
      <c r="BD11" s="28">
        <f t="shared" si="12"/>
        <v>2225.8064516129029</v>
      </c>
      <c r="BE11" s="28">
        <f t="shared" si="13"/>
        <v>20774.193548387098</v>
      </c>
    </row>
    <row r="12" spans="4:59" ht="15.6" x14ac:dyDescent="0.3">
      <c r="D12" s="42"/>
      <c r="E12" s="42"/>
      <c r="F12" s="42"/>
      <c r="G12" s="59">
        <v>4</v>
      </c>
      <c r="H12" s="10">
        <v>1004</v>
      </c>
      <c r="I12" s="11" t="s">
        <v>6</v>
      </c>
      <c r="J12" s="49">
        <f t="shared" si="3"/>
        <v>5</v>
      </c>
      <c r="K12" s="48" t="s">
        <v>43</v>
      </c>
      <c r="L12" s="2" t="str">
        <f t="shared" si="2"/>
        <v>WO</v>
      </c>
      <c r="M12" s="48" t="s">
        <v>43</v>
      </c>
      <c r="N12" s="48" t="s">
        <v>43</v>
      </c>
      <c r="O12" s="48" t="s">
        <v>41</v>
      </c>
      <c r="P12" s="48" t="s">
        <v>43</v>
      </c>
      <c r="Q12" s="48" t="s">
        <v>43</v>
      </c>
      <c r="R12" s="48" t="s">
        <v>44</v>
      </c>
      <c r="S12" s="2" t="str">
        <f t="shared" si="2"/>
        <v>WO</v>
      </c>
      <c r="T12" s="48" t="s">
        <v>43</v>
      </c>
      <c r="U12" s="48" t="s">
        <v>43</v>
      </c>
      <c r="V12" s="48" t="s">
        <v>44</v>
      </c>
      <c r="W12" s="48" t="s">
        <v>43</v>
      </c>
      <c r="X12" s="48" t="s">
        <v>43</v>
      </c>
      <c r="Y12" s="48" t="s">
        <v>43</v>
      </c>
      <c r="Z12" s="2" t="str">
        <f t="shared" si="2"/>
        <v>WO</v>
      </c>
      <c r="AA12" s="48" t="s">
        <v>43</v>
      </c>
      <c r="AB12" s="48" t="s">
        <v>43</v>
      </c>
      <c r="AC12" s="48" t="s">
        <v>41</v>
      </c>
      <c r="AD12" s="48" t="s">
        <v>43</v>
      </c>
      <c r="AE12" s="48" t="s">
        <v>43</v>
      </c>
      <c r="AF12" s="48" t="s">
        <v>43</v>
      </c>
      <c r="AG12" s="2" t="str">
        <f t="shared" si="2"/>
        <v>WO</v>
      </c>
      <c r="AH12" s="48" t="s">
        <v>43</v>
      </c>
      <c r="AI12" s="48" t="s">
        <v>43</v>
      </c>
      <c r="AJ12" s="48" t="s">
        <v>43</v>
      </c>
      <c r="AK12" s="48" t="s">
        <v>43</v>
      </c>
      <c r="AL12" s="48" t="s">
        <v>43</v>
      </c>
      <c r="AM12" s="48" t="s">
        <v>41</v>
      </c>
      <c r="AN12" s="2" t="str">
        <f t="shared" si="2"/>
        <v>WO</v>
      </c>
      <c r="AO12" s="60" t="s">
        <v>43</v>
      </c>
      <c r="AP12" s="42"/>
      <c r="AQ12" s="42"/>
      <c r="AR12" s="3">
        <v>4</v>
      </c>
      <c r="AS12" s="3">
        <v>1004</v>
      </c>
      <c r="AT12" s="3" t="str">
        <f t="shared" si="4"/>
        <v>March</v>
      </c>
      <c r="AU12" s="36" t="s">
        <v>6</v>
      </c>
      <c r="AV12">
        <f t="shared" si="5"/>
        <v>21</v>
      </c>
      <c r="AW12">
        <f t="shared" si="6"/>
        <v>2</v>
      </c>
      <c r="AX12">
        <f t="shared" si="7"/>
        <v>3</v>
      </c>
      <c r="AY12">
        <f t="shared" si="8"/>
        <v>5</v>
      </c>
      <c r="AZ12">
        <f t="shared" si="9"/>
        <v>31</v>
      </c>
      <c r="BA12">
        <f t="shared" si="10"/>
        <v>29</v>
      </c>
      <c r="BB12" s="28">
        <v>25000</v>
      </c>
      <c r="BC12" s="29">
        <f t="shared" si="11"/>
        <v>806.45161290322585</v>
      </c>
      <c r="BD12" s="28">
        <f t="shared" si="12"/>
        <v>1612.9032258064517</v>
      </c>
      <c r="BE12" s="28">
        <f t="shared" si="13"/>
        <v>23387.096774193549</v>
      </c>
    </row>
    <row r="13" spans="4:59" ht="15.6" x14ac:dyDescent="0.3">
      <c r="D13" s="42"/>
      <c r="E13" s="42"/>
      <c r="F13" s="42"/>
      <c r="G13" s="59">
        <v>5</v>
      </c>
      <c r="H13" s="10">
        <v>1005</v>
      </c>
      <c r="I13" s="11" t="s">
        <v>7</v>
      </c>
      <c r="J13" s="49">
        <f t="shared" si="3"/>
        <v>5</v>
      </c>
      <c r="K13" s="48" t="s">
        <v>43</v>
      </c>
      <c r="L13" s="2" t="str">
        <f t="shared" si="2"/>
        <v>WO</v>
      </c>
      <c r="M13" s="48" t="s">
        <v>43</v>
      </c>
      <c r="N13" s="48" t="s">
        <v>44</v>
      </c>
      <c r="O13" s="48" t="s">
        <v>41</v>
      </c>
      <c r="P13" s="48" t="s">
        <v>43</v>
      </c>
      <c r="Q13" s="48" t="s">
        <v>44</v>
      </c>
      <c r="R13" s="48" t="s">
        <v>43</v>
      </c>
      <c r="S13" s="2" t="str">
        <f t="shared" si="2"/>
        <v>WO</v>
      </c>
      <c r="T13" s="48" t="s">
        <v>43</v>
      </c>
      <c r="U13" s="48" t="s">
        <v>43</v>
      </c>
      <c r="V13" s="48" t="s">
        <v>43</v>
      </c>
      <c r="W13" s="48" t="s">
        <v>43</v>
      </c>
      <c r="X13" s="48" t="s">
        <v>43</v>
      </c>
      <c r="Y13" s="48" t="s">
        <v>43</v>
      </c>
      <c r="Z13" s="2" t="str">
        <f t="shared" si="2"/>
        <v>WO</v>
      </c>
      <c r="AA13" s="48" t="s">
        <v>43</v>
      </c>
      <c r="AB13" s="48" t="s">
        <v>43</v>
      </c>
      <c r="AC13" s="48" t="s">
        <v>41</v>
      </c>
      <c r="AD13" s="48" t="s">
        <v>43</v>
      </c>
      <c r="AE13" s="48" t="s">
        <v>43</v>
      </c>
      <c r="AF13" s="48" t="s">
        <v>43</v>
      </c>
      <c r="AG13" s="2" t="str">
        <f t="shared" si="2"/>
        <v>WO</v>
      </c>
      <c r="AH13" s="48" t="s">
        <v>43</v>
      </c>
      <c r="AI13" s="48" t="s">
        <v>43</v>
      </c>
      <c r="AJ13" s="48" t="s">
        <v>43</v>
      </c>
      <c r="AK13" s="48" t="s">
        <v>43</v>
      </c>
      <c r="AL13" s="48" t="s">
        <v>43</v>
      </c>
      <c r="AM13" s="48" t="s">
        <v>41</v>
      </c>
      <c r="AN13" s="2" t="str">
        <f t="shared" si="2"/>
        <v>WO</v>
      </c>
      <c r="AO13" s="60" t="s">
        <v>43</v>
      </c>
      <c r="AP13" s="42"/>
      <c r="AQ13" s="42"/>
      <c r="AR13" s="3">
        <v>5</v>
      </c>
      <c r="AS13" s="3">
        <v>1005</v>
      </c>
      <c r="AT13" s="3" t="str">
        <f t="shared" si="4"/>
        <v>March</v>
      </c>
      <c r="AU13" s="36" t="s">
        <v>7</v>
      </c>
      <c r="AV13">
        <f t="shared" si="5"/>
        <v>21</v>
      </c>
      <c r="AW13">
        <f t="shared" si="6"/>
        <v>2</v>
      </c>
      <c r="AX13">
        <f t="shared" si="7"/>
        <v>3</v>
      </c>
      <c r="AY13">
        <f t="shared" si="8"/>
        <v>5</v>
      </c>
      <c r="AZ13">
        <f t="shared" si="9"/>
        <v>31</v>
      </c>
      <c r="BA13">
        <f t="shared" si="10"/>
        <v>29</v>
      </c>
      <c r="BB13" s="28">
        <v>26000</v>
      </c>
      <c r="BC13" s="29">
        <f t="shared" si="11"/>
        <v>838.70967741935488</v>
      </c>
      <c r="BD13" s="28">
        <f t="shared" si="12"/>
        <v>1677.4193548387098</v>
      </c>
      <c r="BE13" s="28">
        <f t="shared" si="13"/>
        <v>24322.580645161292</v>
      </c>
    </row>
    <row r="14" spans="4:59" ht="15.6" x14ac:dyDescent="0.3">
      <c r="D14" s="42"/>
      <c r="E14" s="42"/>
      <c r="F14" s="42"/>
      <c r="G14" s="59">
        <v>6</v>
      </c>
      <c r="H14" s="10">
        <v>1006</v>
      </c>
      <c r="I14" s="11" t="s">
        <v>8</v>
      </c>
      <c r="J14" s="49">
        <f t="shared" si="3"/>
        <v>5</v>
      </c>
      <c r="K14" s="48" t="s">
        <v>43</v>
      </c>
      <c r="L14" s="2" t="str">
        <f t="shared" si="2"/>
        <v>WO</v>
      </c>
      <c r="M14" s="48" t="s">
        <v>43</v>
      </c>
      <c r="N14" s="48" t="s">
        <v>43</v>
      </c>
      <c r="O14" s="48" t="s">
        <v>41</v>
      </c>
      <c r="P14" s="48" t="s">
        <v>43</v>
      </c>
      <c r="Q14" s="48" t="s">
        <v>43</v>
      </c>
      <c r="R14" s="48" t="s">
        <v>43</v>
      </c>
      <c r="S14" s="2" t="str">
        <f t="shared" si="2"/>
        <v>WO</v>
      </c>
      <c r="T14" s="48" t="s">
        <v>43</v>
      </c>
      <c r="U14" s="48" t="s">
        <v>43</v>
      </c>
      <c r="V14" s="48" t="s">
        <v>43</v>
      </c>
      <c r="W14" s="48" t="s">
        <v>43</v>
      </c>
      <c r="X14" s="48" t="s">
        <v>43</v>
      </c>
      <c r="Y14" s="48" t="s">
        <v>43</v>
      </c>
      <c r="Z14" s="2" t="str">
        <f t="shared" si="2"/>
        <v>WO</v>
      </c>
      <c r="AA14" s="48" t="s">
        <v>43</v>
      </c>
      <c r="AB14" s="48" t="s">
        <v>43</v>
      </c>
      <c r="AC14" s="48" t="s">
        <v>41</v>
      </c>
      <c r="AD14" s="48" t="s">
        <v>43</v>
      </c>
      <c r="AE14" s="48" t="s">
        <v>43</v>
      </c>
      <c r="AF14" s="48" t="s">
        <v>43</v>
      </c>
      <c r="AG14" s="2" t="str">
        <f t="shared" si="2"/>
        <v>WO</v>
      </c>
      <c r="AH14" s="48" t="s">
        <v>43</v>
      </c>
      <c r="AI14" s="48" t="s">
        <v>43</v>
      </c>
      <c r="AJ14" s="48" t="s">
        <v>43</v>
      </c>
      <c r="AK14" s="48" t="s">
        <v>43</v>
      </c>
      <c r="AL14" s="48" t="s">
        <v>43</v>
      </c>
      <c r="AM14" s="48" t="s">
        <v>41</v>
      </c>
      <c r="AN14" s="2" t="str">
        <f t="shared" si="2"/>
        <v>WO</v>
      </c>
      <c r="AO14" s="60" t="s">
        <v>43</v>
      </c>
      <c r="AP14" s="42"/>
      <c r="AQ14" s="42"/>
      <c r="AR14" s="3">
        <v>6</v>
      </c>
      <c r="AS14" s="3">
        <v>1006</v>
      </c>
      <c r="AT14" s="3" t="str">
        <f t="shared" si="4"/>
        <v>March</v>
      </c>
      <c r="AU14" s="36" t="s">
        <v>8</v>
      </c>
      <c r="AV14">
        <f t="shared" si="5"/>
        <v>23</v>
      </c>
      <c r="AW14">
        <f t="shared" si="6"/>
        <v>0</v>
      </c>
      <c r="AX14">
        <f t="shared" si="7"/>
        <v>3</v>
      </c>
      <c r="AY14">
        <f t="shared" si="8"/>
        <v>5</v>
      </c>
      <c r="AZ14">
        <f t="shared" si="9"/>
        <v>31</v>
      </c>
      <c r="BA14">
        <f t="shared" si="10"/>
        <v>31</v>
      </c>
      <c r="BB14" s="28">
        <v>31000</v>
      </c>
      <c r="BC14" s="29">
        <f t="shared" si="11"/>
        <v>1000</v>
      </c>
      <c r="BD14" s="28">
        <f t="shared" si="12"/>
        <v>0</v>
      </c>
      <c r="BE14" s="28">
        <f t="shared" si="13"/>
        <v>31000</v>
      </c>
    </row>
    <row r="15" spans="4:59" ht="15.6" x14ac:dyDescent="0.3">
      <c r="D15" s="42"/>
      <c r="E15" s="42"/>
      <c r="F15" s="42"/>
      <c r="G15" s="59">
        <v>7</v>
      </c>
      <c r="H15" s="10">
        <v>1007</v>
      </c>
      <c r="I15" s="11" t="s">
        <v>9</v>
      </c>
      <c r="J15" s="49">
        <f t="shared" si="3"/>
        <v>5</v>
      </c>
      <c r="K15" s="48" t="s">
        <v>43</v>
      </c>
      <c r="L15" s="2" t="str">
        <f t="shared" si="2"/>
        <v>WO</v>
      </c>
      <c r="M15" s="48" t="s">
        <v>43</v>
      </c>
      <c r="N15" s="48" t="s">
        <v>43</v>
      </c>
      <c r="O15" s="48" t="s">
        <v>41</v>
      </c>
      <c r="P15" s="48" t="s">
        <v>43</v>
      </c>
      <c r="Q15" s="48" t="s">
        <v>43</v>
      </c>
      <c r="R15" s="48" t="s">
        <v>44</v>
      </c>
      <c r="S15" s="2" t="str">
        <f t="shared" si="2"/>
        <v>WO</v>
      </c>
      <c r="T15" s="48" t="s">
        <v>44</v>
      </c>
      <c r="U15" s="48" t="s">
        <v>43</v>
      </c>
      <c r="V15" s="48" t="s">
        <v>44</v>
      </c>
      <c r="W15" s="48" t="s">
        <v>43</v>
      </c>
      <c r="X15" s="48" t="s">
        <v>43</v>
      </c>
      <c r="Y15" s="48" t="s">
        <v>43</v>
      </c>
      <c r="Z15" s="2" t="str">
        <f t="shared" si="2"/>
        <v>WO</v>
      </c>
      <c r="AA15" s="48" t="s">
        <v>43</v>
      </c>
      <c r="AB15" s="48" t="s">
        <v>43</v>
      </c>
      <c r="AC15" s="48" t="s">
        <v>41</v>
      </c>
      <c r="AD15" s="48" t="s">
        <v>43</v>
      </c>
      <c r="AE15" s="48" t="s">
        <v>43</v>
      </c>
      <c r="AF15" s="48" t="s">
        <v>43</v>
      </c>
      <c r="AG15" s="2" t="str">
        <f t="shared" si="2"/>
        <v>WO</v>
      </c>
      <c r="AH15" s="48" t="s">
        <v>44</v>
      </c>
      <c r="AI15" s="48" t="s">
        <v>43</v>
      </c>
      <c r="AJ15" s="48" t="s">
        <v>43</v>
      </c>
      <c r="AK15" s="48" t="s">
        <v>43</v>
      </c>
      <c r="AL15" s="48" t="s">
        <v>44</v>
      </c>
      <c r="AM15" s="48" t="s">
        <v>41</v>
      </c>
      <c r="AN15" s="2" t="str">
        <f t="shared" si="2"/>
        <v>WO</v>
      </c>
      <c r="AO15" s="60" t="s">
        <v>43</v>
      </c>
      <c r="AP15" s="42"/>
      <c r="AQ15" s="42"/>
      <c r="AR15" s="3">
        <v>7</v>
      </c>
      <c r="AS15" s="3">
        <v>1007</v>
      </c>
      <c r="AT15" s="3" t="str">
        <f t="shared" si="4"/>
        <v>March</v>
      </c>
      <c r="AU15" s="36" t="s">
        <v>9</v>
      </c>
      <c r="AV15">
        <f t="shared" si="5"/>
        <v>18</v>
      </c>
      <c r="AW15">
        <f t="shared" si="6"/>
        <v>5</v>
      </c>
      <c r="AX15">
        <f t="shared" si="7"/>
        <v>3</v>
      </c>
      <c r="AY15">
        <f t="shared" si="8"/>
        <v>5</v>
      </c>
      <c r="AZ15">
        <f t="shared" si="9"/>
        <v>31</v>
      </c>
      <c r="BA15">
        <f t="shared" si="10"/>
        <v>26</v>
      </c>
      <c r="BB15" s="28">
        <v>28000</v>
      </c>
      <c r="BC15" s="29">
        <f t="shared" si="11"/>
        <v>903.22580645161293</v>
      </c>
      <c r="BD15" s="28">
        <f t="shared" si="12"/>
        <v>4516.1290322580644</v>
      </c>
      <c r="BE15" s="28">
        <f t="shared" si="13"/>
        <v>23483.870967741936</v>
      </c>
    </row>
    <row r="16" spans="4:59" ht="15.6" x14ac:dyDescent="0.3">
      <c r="D16" s="42"/>
      <c r="E16" s="42"/>
      <c r="F16" s="42"/>
      <c r="G16" s="59">
        <v>8</v>
      </c>
      <c r="H16" s="10">
        <v>1008</v>
      </c>
      <c r="I16" s="11" t="s">
        <v>10</v>
      </c>
      <c r="J16" s="49">
        <f t="shared" si="3"/>
        <v>5</v>
      </c>
      <c r="K16" s="48" t="s">
        <v>43</v>
      </c>
      <c r="L16" s="2" t="str">
        <f t="shared" si="2"/>
        <v>WO</v>
      </c>
      <c r="M16" s="48" t="s">
        <v>44</v>
      </c>
      <c r="N16" s="48" t="s">
        <v>43</v>
      </c>
      <c r="O16" s="48" t="s">
        <v>41</v>
      </c>
      <c r="P16" s="48" t="s">
        <v>43</v>
      </c>
      <c r="Q16" s="48" t="s">
        <v>43</v>
      </c>
      <c r="R16" s="48" t="s">
        <v>43</v>
      </c>
      <c r="S16" s="2" t="str">
        <f t="shared" si="2"/>
        <v>WO</v>
      </c>
      <c r="T16" s="48" t="s">
        <v>43</v>
      </c>
      <c r="U16" s="48" t="s">
        <v>43</v>
      </c>
      <c r="V16" s="48" t="s">
        <v>43</v>
      </c>
      <c r="W16" s="48" t="s">
        <v>43</v>
      </c>
      <c r="X16" s="48" t="s">
        <v>43</v>
      </c>
      <c r="Y16" s="48" t="s">
        <v>44</v>
      </c>
      <c r="Z16" s="2" t="str">
        <f t="shared" si="2"/>
        <v>WO</v>
      </c>
      <c r="AA16" s="48" t="s">
        <v>43</v>
      </c>
      <c r="AB16" s="48" t="s">
        <v>43</v>
      </c>
      <c r="AC16" s="48" t="s">
        <v>41</v>
      </c>
      <c r="AD16" s="48" t="s">
        <v>43</v>
      </c>
      <c r="AE16" s="48" t="s">
        <v>43</v>
      </c>
      <c r="AF16" s="48" t="s">
        <v>43</v>
      </c>
      <c r="AG16" s="2" t="str">
        <f t="shared" si="2"/>
        <v>WO</v>
      </c>
      <c r="AH16" s="48" t="s">
        <v>43</v>
      </c>
      <c r="AI16" s="48" t="s">
        <v>43</v>
      </c>
      <c r="AJ16" s="48" t="s">
        <v>43</v>
      </c>
      <c r="AK16" s="48" t="s">
        <v>43</v>
      </c>
      <c r="AL16" s="48" t="s">
        <v>43</v>
      </c>
      <c r="AM16" s="48" t="s">
        <v>41</v>
      </c>
      <c r="AN16" s="2" t="str">
        <f t="shared" si="2"/>
        <v>WO</v>
      </c>
      <c r="AO16" s="60" t="s">
        <v>43</v>
      </c>
      <c r="AP16" s="42"/>
      <c r="AQ16" s="42"/>
      <c r="AR16" s="3">
        <v>8</v>
      </c>
      <c r="AS16" s="3">
        <v>1008</v>
      </c>
      <c r="AT16" s="3" t="str">
        <f t="shared" si="4"/>
        <v>March</v>
      </c>
      <c r="AU16" s="36" t="s">
        <v>10</v>
      </c>
      <c r="AV16">
        <f t="shared" si="5"/>
        <v>21</v>
      </c>
      <c r="AW16">
        <f t="shared" si="6"/>
        <v>2</v>
      </c>
      <c r="AX16">
        <f t="shared" si="7"/>
        <v>3</v>
      </c>
      <c r="AY16">
        <f t="shared" si="8"/>
        <v>5</v>
      </c>
      <c r="AZ16">
        <f t="shared" si="9"/>
        <v>31</v>
      </c>
      <c r="BA16">
        <f t="shared" si="10"/>
        <v>29</v>
      </c>
      <c r="BB16" s="28">
        <v>29000</v>
      </c>
      <c r="BC16" s="29">
        <f t="shared" si="11"/>
        <v>935.48387096774195</v>
      </c>
      <c r="BD16" s="28">
        <f t="shared" si="12"/>
        <v>1870.9677419354839</v>
      </c>
      <c r="BE16" s="28">
        <f t="shared" si="13"/>
        <v>27129.032258064515</v>
      </c>
    </row>
    <row r="17" spans="4:59" ht="15.6" x14ac:dyDescent="0.3">
      <c r="D17" s="42"/>
      <c r="E17" s="42"/>
      <c r="F17" s="42"/>
      <c r="G17" s="59">
        <v>9</v>
      </c>
      <c r="H17" s="10">
        <v>1009</v>
      </c>
      <c r="I17" s="11" t="s">
        <v>11</v>
      </c>
      <c r="J17" s="49">
        <f t="shared" si="3"/>
        <v>5</v>
      </c>
      <c r="K17" s="48" t="s">
        <v>43</v>
      </c>
      <c r="L17" s="2" t="str">
        <f t="shared" si="2"/>
        <v>WO</v>
      </c>
      <c r="M17" s="48" t="s">
        <v>43</v>
      </c>
      <c r="N17" s="48" t="s">
        <v>43</v>
      </c>
      <c r="O17" s="48" t="s">
        <v>41</v>
      </c>
      <c r="P17" s="48" t="s">
        <v>43</v>
      </c>
      <c r="Q17" s="48" t="s">
        <v>43</v>
      </c>
      <c r="R17" s="48" t="s">
        <v>43</v>
      </c>
      <c r="S17" s="2" t="str">
        <f t="shared" si="2"/>
        <v>WO</v>
      </c>
      <c r="T17" s="48" t="s">
        <v>43</v>
      </c>
      <c r="U17" s="48" t="s">
        <v>43</v>
      </c>
      <c r="V17" s="48" t="s">
        <v>43</v>
      </c>
      <c r="W17" s="48" t="s">
        <v>43</v>
      </c>
      <c r="X17" s="48" t="s">
        <v>43</v>
      </c>
      <c r="Y17" s="48" t="s">
        <v>43</v>
      </c>
      <c r="Z17" s="2" t="str">
        <f t="shared" si="2"/>
        <v>WO</v>
      </c>
      <c r="AA17" s="48" t="s">
        <v>43</v>
      </c>
      <c r="AB17" s="48" t="s">
        <v>43</v>
      </c>
      <c r="AC17" s="48" t="s">
        <v>41</v>
      </c>
      <c r="AD17" s="48" t="s">
        <v>43</v>
      </c>
      <c r="AE17" s="48" t="s">
        <v>44</v>
      </c>
      <c r="AF17" s="48" t="s">
        <v>43</v>
      </c>
      <c r="AG17" s="2" t="str">
        <f t="shared" ref="AG17:AN28" si="14">IF(AG$7="sun","WO","")</f>
        <v>WO</v>
      </c>
      <c r="AH17" s="48" t="s">
        <v>43</v>
      </c>
      <c r="AI17" s="48" t="s">
        <v>43</v>
      </c>
      <c r="AJ17" s="48" t="s">
        <v>43</v>
      </c>
      <c r="AK17" s="48" t="s">
        <v>43</v>
      </c>
      <c r="AL17" s="48" t="s">
        <v>43</v>
      </c>
      <c r="AM17" s="48" t="s">
        <v>41</v>
      </c>
      <c r="AN17" s="2" t="str">
        <f t="shared" si="14"/>
        <v>WO</v>
      </c>
      <c r="AO17" s="60" t="s">
        <v>43</v>
      </c>
      <c r="AP17" s="42"/>
      <c r="AQ17" s="42"/>
      <c r="AR17" s="3">
        <v>9</v>
      </c>
      <c r="AS17" s="3">
        <v>1009</v>
      </c>
      <c r="AT17" s="3" t="str">
        <f t="shared" si="4"/>
        <v>March</v>
      </c>
      <c r="AU17" s="36" t="s">
        <v>11</v>
      </c>
      <c r="AV17">
        <f t="shared" si="5"/>
        <v>22</v>
      </c>
      <c r="AW17">
        <f t="shared" si="6"/>
        <v>1</v>
      </c>
      <c r="AX17">
        <f t="shared" si="7"/>
        <v>3</v>
      </c>
      <c r="AY17">
        <f t="shared" si="8"/>
        <v>5</v>
      </c>
      <c r="AZ17">
        <f t="shared" si="9"/>
        <v>31</v>
      </c>
      <c r="BA17">
        <f t="shared" si="10"/>
        <v>30</v>
      </c>
      <c r="BB17" s="28">
        <v>32000</v>
      </c>
      <c r="BC17" s="29">
        <f t="shared" si="11"/>
        <v>1032.258064516129</v>
      </c>
      <c r="BD17" s="28">
        <f t="shared" si="12"/>
        <v>1032.258064516129</v>
      </c>
      <c r="BE17" s="28">
        <f t="shared" si="13"/>
        <v>30967.741935483871</v>
      </c>
    </row>
    <row r="18" spans="4:59" ht="15.6" x14ac:dyDescent="0.3">
      <c r="D18" s="42"/>
      <c r="E18" s="42"/>
      <c r="F18" s="42"/>
      <c r="G18" s="59">
        <v>10</v>
      </c>
      <c r="H18" s="10">
        <v>1010</v>
      </c>
      <c r="I18" s="11" t="s">
        <v>12</v>
      </c>
      <c r="J18" s="49">
        <f t="shared" si="3"/>
        <v>5</v>
      </c>
      <c r="K18" s="48" t="s">
        <v>43</v>
      </c>
      <c r="L18" s="2" t="str">
        <f t="shared" ref="L18:Z28" si="15">IF(L$7="sun","WO","")</f>
        <v>WO</v>
      </c>
      <c r="M18" s="48" t="s">
        <v>43</v>
      </c>
      <c r="N18" s="48" t="s">
        <v>43</v>
      </c>
      <c r="O18" s="48" t="s">
        <v>41</v>
      </c>
      <c r="P18" s="48" t="s">
        <v>44</v>
      </c>
      <c r="Q18" s="48" t="s">
        <v>43</v>
      </c>
      <c r="R18" s="48" t="s">
        <v>43</v>
      </c>
      <c r="S18" s="2" t="str">
        <f t="shared" si="15"/>
        <v>WO</v>
      </c>
      <c r="T18" s="48" t="s">
        <v>43</v>
      </c>
      <c r="U18" s="48" t="s">
        <v>43</v>
      </c>
      <c r="V18" s="48" t="s">
        <v>43</v>
      </c>
      <c r="W18" s="48" t="s">
        <v>44</v>
      </c>
      <c r="X18" s="48" t="s">
        <v>43</v>
      </c>
      <c r="Y18" s="48" t="s">
        <v>43</v>
      </c>
      <c r="Z18" s="2" t="str">
        <f t="shared" si="15"/>
        <v>WO</v>
      </c>
      <c r="AA18" s="48" t="s">
        <v>43</v>
      </c>
      <c r="AB18" s="48" t="s">
        <v>43</v>
      </c>
      <c r="AC18" s="48" t="s">
        <v>41</v>
      </c>
      <c r="AD18" s="48" t="s">
        <v>43</v>
      </c>
      <c r="AE18" s="48" t="s">
        <v>43</v>
      </c>
      <c r="AF18" s="48" t="s">
        <v>43</v>
      </c>
      <c r="AG18" s="2" t="str">
        <f t="shared" si="14"/>
        <v>WO</v>
      </c>
      <c r="AH18" s="48" t="s">
        <v>43</v>
      </c>
      <c r="AI18" s="48" t="s">
        <v>43</v>
      </c>
      <c r="AJ18" s="48" t="s">
        <v>43</v>
      </c>
      <c r="AK18" s="48" t="s">
        <v>43</v>
      </c>
      <c r="AL18" s="48" t="s">
        <v>43</v>
      </c>
      <c r="AM18" s="48" t="s">
        <v>41</v>
      </c>
      <c r="AN18" s="2" t="str">
        <f t="shared" si="14"/>
        <v>WO</v>
      </c>
      <c r="AO18" s="60" t="s">
        <v>43</v>
      </c>
      <c r="AP18" s="42"/>
      <c r="AQ18" s="42"/>
      <c r="AR18" s="3">
        <v>10</v>
      </c>
      <c r="AS18" s="3">
        <v>1010</v>
      </c>
      <c r="AT18" s="3" t="str">
        <f t="shared" si="4"/>
        <v>March</v>
      </c>
      <c r="AU18" s="36" t="s">
        <v>12</v>
      </c>
      <c r="AV18">
        <f t="shared" si="5"/>
        <v>21</v>
      </c>
      <c r="AW18">
        <f t="shared" si="6"/>
        <v>2</v>
      </c>
      <c r="AX18">
        <f t="shared" si="7"/>
        <v>3</v>
      </c>
      <c r="AY18">
        <f t="shared" si="8"/>
        <v>5</v>
      </c>
      <c r="AZ18">
        <f t="shared" si="9"/>
        <v>31</v>
      </c>
      <c r="BA18">
        <f t="shared" si="10"/>
        <v>29</v>
      </c>
      <c r="BB18" s="28">
        <v>35000</v>
      </c>
      <c r="BC18" s="29">
        <f t="shared" si="11"/>
        <v>1129.0322580645161</v>
      </c>
      <c r="BD18" s="28">
        <f t="shared" si="12"/>
        <v>2258.0645161290322</v>
      </c>
      <c r="BE18" s="28">
        <f t="shared" si="13"/>
        <v>32741.93548387097</v>
      </c>
    </row>
    <row r="19" spans="4:59" ht="15.6" x14ac:dyDescent="0.3">
      <c r="D19" s="42"/>
      <c r="E19" s="42"/>
      <c r="F19" s="42"/>
      <c r="G19" s="59">
        <v>11</v>
      </c>
      <c r="H19" s="10">
        <v>1011</v>
      </c>
      <c r="I19" s="11" t="s">
        <v>13</v>
      </c>
      <c r="J19" s="49">
        <f t="shared" si="3"/>
        <v>5</v>
      </c>
      <c r="K19" s="48" t="s">
        <v>43</v>
      </c>
      <c r="L19" s="2" t="str">
        <f t="shared" si="15"/>
        <v>WO</v>
      </c>
      <c r="M19" s="48" t="s">
        <v>43</v>
      </c>
      <c r="N19" s="48" t="s">
        <v>43</v>
      </c>
      <c r="O19" s="48" t="s">
        <v>41</v>
      </c>
      <c r="P19" s="48" t="s">
        <v>43</v>
      </c>
      <c r="Q19" s="48" t="s">
        <v>43</v>
      </c>
      <c r="R19" s="48" t="s">
        <v>43</v>
      </c>
      <c r="S19" s="2" t="str">
        <f t="shared" si="15"/>
        <v>WO</v>
      </c>
      <c r="T19" s="48" t="s">
        <v>43</v>
      </c>
      <c r="U19" s="48" t="s">
        <v>43</v>
      </c>
      <c r="V19" s="48" t="s">
        <v>43</v>
      </c>
      <c r="W19" s="48" t="s">
        <v>43</v>
      </c>
      <c r="X19" s="48" t="s">
        <v>43</v>
      </c>
      <c r="Y19" s="48" t="s">
        <v>43</v>
      </c>
      <c r="Z19" s="2" t="str">
        <f t="shared" si="15"/>
        <v>WO</v>
      </c>
      <c r="AA19" s="48" t="s">
        <v>43</v>
      </c>
      <c r="AB19" s="48" t="s">
        <v>43</v>
      </c>
      <c r="AC19" s="48" t="s">
        <v>41</v>
      </c>
      <c r="AD19" s="48" t="s">
        <v>43</v>
      </c>
      <c r="AE19" s="48" t="s">
        <v>43</v>
      </c>
      <c r="AF19" s="48" t="s">
        <v>43</v>
      </c>
      <c r="AG19" s="2" t="str">
        <f t="shared" si="14"/>
        <v>WO</v>
      </c>
      <c r="AH19" s="48" t="s">
        <v>43</v>
      </c>
      <c r="AI19" s="48" t="s">
        <v>43</v>
      </c>
      <c r="AJ19" s="48" t="s">
        <v>44</v>
      </c>
      <c r="AK19" s="48" t="s">
        <v>43</v>
      </c>
      <c r="AL19" s="48" t="s">
        <v>43</v>
      </c>
      <c r="AM19" s="48" t="s">
        <v>41</v>
      </c>
      <c r="AN19" s="2" t="str">
        <f t="shared" si="14"/>
        <v>WO</v>
      </c>
      <c r="AO19" s="60" t="s">
        <v>43</v>
      </c>
      <c r="AP19" s="42"/>
      <c r="AQ19" s="42"/>
      <c r="AR19" s="3">
        <v>11</v>
      </c>
      <c r="AS19" s="3">
        <v>1011</v>
      </c>
      <c r="AT19" s="3" t="str">
        <f t="shared" si="4"/>
        <v>March</v>
      </c>
      <c r="AU19" s="36" t="s">
        <v>13</v>
      </c>
      <c r="AV19">
        <f t="shared" si="5"/>
        <v>22</v>
      </c>
      <c r="AW19">
        <f t="shared" si="6"/>
        <v>1</v>
      </c>
      <c r="AX19">
        <f t="shared" si="7"/>
        <v>3</v>
      </c>
      <c r="AY19">
        <f t="shared" si="8"/>
        <v>5</v>
      </c>
      <c r="AZ19">
        <f t="shared" si="9"/>
        <v>31</v>
      </c>
      <c r="BA19">
        <f t="shared" si="10"/>
        <v>30</v>
      </c>
      <c r="BB19" s="28">
        <v>50000</v>
      </c>
      <c r="BC19" s="29">
        <f t="shared" si="11"/>
        <v>1612.9032258064517</v>
      </c>
      <c r="BD19" s="28">
        <f t="shared" si="12"/>
        <v>1612.9032258064517</v>
      </c>
      <c r="BE19" s="28">
        <f t="shared" si="13"/>
        <v>48387.096774193546</v>
      </c>
    </row>
    <row r="20" spans="4:59" ht="15.6" x14ac:dyDescent="0.3">
      <c r="D20" s="42"/>
      <c r="E20" s="42"/>
      <c r="F20" s="42"/>
      <c r="G20" s="59">
        <v>12</v>
      </c>
      <c r="H20" s="10">
        <v>1012</v>
      </c>
      <c r="I20" s="11" t="s">
        <v>14</v>
      </c>
      <c r="J20" s="49">
        <f t="shared" si="3"/>
        <v>5</v>
      </c>
      <c r="K20" s="48" t="s">
        <v>43</v>
      </c>
      <c r="L20" s="2" t="str">
        <f t="shared" si="15"/>
        <v>WO</v>
      </c>
      <c r="M20" s="48" t="s">
        <v>43</v>
      </c>
      <c r="N20" s="48" t="s">
        <v>43</v>
      </c>
      <c r="O20" s="48" t="s">
        <v>41</v>
      </c>
      <c r="P20" s="48" t="s">
        <v>43</v>
      </c>
      <c r="Q20" s="48" t="s">
        <v>43</v>
      </c>
      <c r="R20" s="48" t="s">
        <v>43</v>
      </c>
      <c r="S20" s="2" t="str">
        <f t="shared" si="15"/>
        <v>WO</v>
      </c>
      <c r="T20" s="48" t="s">
        <v>43</v>
      </c>
      <c r="U20" s="48" t="s">
        <v>43</v>
      </c>
      <c r="V20" s="48" t="s">
        <v>43</v>
      </c>
      <c r="W20" s="48" t="s">
        <v>43</v>
      </c>
      <c r="X20" s="48" t="s">
        <v>43</v>
      </c>
      <c r="Y20" s="48" t="s">
        <v>43</v>
      </c>
      <c r="Z20" s="2" t="str">
        <f t="shared" si="15"/>
        <v>WO</v>
      </c>
      <c r="AA20" s="48" t="s">
        <v>43</v>
      </c>
      <c r="AB20" s="48" t="s">
        <v>43</v>
      </c>
      <c r="AC20" s="48" t="s">
        <v>41</v>
      </c>
      <c r="AD20" s="48" t="s">
        <v>43</v>
      </c>
      <c r="AE20" s="48" t="s">
        <v>43</v>
      </c>
      <c r="AF20" s="48" t="s">
        <v>43</v>
      </c>
      <c r="AG20" s="2" t="str">
        <f t="shared" si="14"/>
        <v>WO</v>
      </c>
      <c r="AH20" s="48" t="s">
        <v>44</v>
      </c>
      <c r="AI20" s="48" t="s">
        <v>43</v>
      </c>
      <c r="AJ20" s="48" t="s">
        <v>43</v>
      </c>
      <c r="AK20" s="48" t="s">
        <v>43</v>
      </c>
      <c r="AL20" s="48" t="s">
        <v>43</v>
      </c>
      <c r="AM20" s="48" t="s">
        <v>41</v>
      </c>
      <c r="AN20" s="2" t="str">
        <f t="shared" si="14"/>
        <v>WO</v>
      </c>
      <c r="AO20" s="60" t="s">
        <v>43</v>
      </c>
      <c r="AP20" s="42"/>
      <c r="AQ20" s="42"/>
      <c r="AR20" s="3">
        <v>12</v>
      </c>
      <c r="AS20" s="3">
        <v>1012</v>
      </c>
      <c r="AT20" s="3" t="str">
        <f t="shared" si="4"/>
        <v>March</v>
      </c>
      <c r="AU20" s="36" t="s">
        <v>14</v>
      </c>
      <c r="AV20">
        <f t="shared" si="5"/>
        <v>22</v>
      </c>
      <c r="AW20">
        <f t="shared" si="6"/>
        <v>1</v>
      </c>
      <c r="AX20">
        <f t="shared" si="7"/>
        <v>3</v>
      </c>
      <c r="AY20">
        <f t="shared" si="8"/>
        <v>5</v>
      </c>
      <c r="AZ20">
        <f t="shared" si="9"/>
        <v>31</v>
      </c>
      <c r="BA20">
        <f t="shared" si="10"/>
        <v>30</v>
      </c>
      <c r="BB20" s="28">
        <v>29000</v>
      </c>
      <c r="BC20" s="29">
        <f t="shared" si="11"/>
        <v>935.48387096774195</v>
      </c>
      <c r="BD20" s="28">
        <f t="shared" si="12"/>
        <v>935.48387096774195</v>
      </c>
      <c r="BE20" s="28">
        <f t="shared" si="13"/>
        <v>28064.516129032258</v>
      </c>
    </row>
    <row r="21" spans="4:59" ht="15.6" x14ac:dyDescent="0.3">
      <c r="D21" s="42"/>
      <c r="E21" s="42"/>
      <c r="F21" s="42"/>
      <c r="G21" s="59">
        <v>13</v>
      </c>
      <c r="H21" s="10">
        <v>1013</v>
      </c>
      <c r="I21" s="11" t="s">
        <v>15</v>
      </c>
      <c r="J21" s="49">
        <f t="shared" si="3"/>
        <v>5</v>
      </c>
      <c r="K21" s="48" t="s">
        <v>43</v>
      </c>
      <c r="L21" s="2" t="str">
        <f t="shared" si="15"/>
        <v>WO</v>
      </c>
      <c r="M21" s="48" t="s">
        <v>43</v>
      </c>
      <c r="N21" s="48" t="s">
        <v>44</v>
      </c>
      <c r="O21" s="48" t="s">
        <v>41</v>
      </c>
      <c r="P21" s="48" t="s">
        <v>43</v>
      </c>
      <c r="Q21" s="48" t="s">
        <v>43</v>
      </c>
      <c r="R21" s="48" t="s">
        <v>44</v>
      </c>
      <c r="S21" s="2" t="str">
        <f t="shared" si="15"/>
        <v>WO</v>
      </c>
      <c r="T21" s="48" t="s">
        <v>43</v>
      </c>
      <c r="U21" s="48" t="s">
        <v>43</v>
      </c>
      <c r="V21" s="48" t="s">
        <v>44</v>
      </c>
      <c r="W21" s="48" t="s">
        <v>43</v>
      </c>
      <c r="X21" s="48" t="s">
        <v>43</v>
      </c>
      <c r="Y21" s="48" t="s">
        <v>43</v>
      </c>
      <c r="Z21" s="2" t="str">
        <f t="shared" si="15"/>
        <v>WO</v>
      </c>
      <c r="AA21" s="48" t="s">
        <v>43</v>
      </c>
      <c r="AB21" s="48" t="s">
        <v>43</v>
      </c>
      <c r="AC21" s="48" t="s">
        <v>41</v>
      </c>
      <c r="AD21" s="48" t="s">
        <v>43</v>
      </c>
      <c r="AE21" s="48" t="s">
        <v>43</v>
      </c>
      <c r="AF21" s="48" t="s">
        <v>43</v>
      </c>
      <c r="AG21" s="2" t="str">
        <f t="shared" si="14"/>
        <v>WO</v>
      </c>
      <c r="AH21" s="48" t="s">
        <v>43</v>
      </c>
      <c r="AI21" s="48" t="s">
        <v>43</v>
      </c>
      <c r="AJ21" s="48" t="s">
        <v>43</v>
      </c>
      <c r="AK21" s="48" t="s">
        <v>43</v>
      </c>
      <c r="AL21" s="48" t="s">
        <v>43</v>
      </c>
      <c r="AM21" s="48" t="s">
        <v>41</v>
      </c>
      <c r="AN21" s="2" t="str">
        <f t="shared" si="14"/>
        <v>WO</v>
      </c>
      <c r="AO21" s="60" t="s">
        <v>43</v>
      </c>
      <c r="AP21" s="42"/>
      <c r="AQ21" s="42"/>
      <c r="AR21" s="3">
        <v>13</v>
      </c>
      <c r="AS21" s="3">
        <v>1013</v>
      </c>
      <c r="AT21" s="3" t="str">
        <f t="shared" si="4"/>
        <v>March</v>
      </c>
      <c r="AU21" s="36" t="s">
        <v>15</v>
      </c>
      <c r="AV21">
        <f t="shared" si="5"/>
        <v>20</v>
      </c>
      <c r="AW21">
        <f t="shared" si="6"/>
        <v>3</v>
      </c>
      <c r="AX21">
        <f t="shared" si="7"/>
        <v>3</v>
      </c>
      <c r="AY21">
        <f t="shared" si="8"/>
        <v>5</v>
      </c>
      <c r="AZ21">
        <f t="shared" si="9"/>
        <v>31</v>
      </c>
      <c r="BA21">
        <f t="shared" si="10"/>
        <v>28</v>
      </c>
      <c r="BB21" s="28">
        <v>37000</v>
      </c>
      <c r="BC21" s="29">
        <f t="shared" si="11"/>
        <v>1193.5483870967741</v>
      </c>
      <c r="BD21" s="28">
        <f t="shared" si="12"/>
        <v>3580.6451612903224</v>
      </c>
      <c r="BE21" s="28">
        <f t="shared" si="13"/>
        <v>33419.354838709674</v>
      </c>
    </row>
    <row r="22" spans="4:59" ht="15.6" x14ac:dyDescent="0.3">
      <c r="D22" s="42"/>
      <c r="E22" s="42"/>
      <c r="F22" s="42"/>
      <c r="G22" s="59">
        <v>14</v>
      </c>
      <c r="H22" s="10">
        <v>1014</v>
      </c>
      <c r="I22" s="11" t="s">
        <v>16</v>
      </c>
      <c r="J22" s="49">
        <f t="shared" si="3"/>
        <v>5</v>
      </c>
      <c r="K22" s="48" t="s">
        <v>43</v>
      </c>
      <c r="L22" s="2" t="str">
        <f t="shared" si="15"/>
        <v>WO</v>
      </c>
      <c r="M22" s="48" t="s">
        <v>43</v>
      </c>
      <c r="N22" s="48" t="s">
        <v>43</v>
      </c>
      <c r="O22" s="48" t="s">
        <v>41</v>
      </c>
      <c r="P22" s="48" t="s">
        <v>43</v>
      </c>
      <c r="Q22" s="48" t="s">
        <v>43</v>
      </c>
      <c r="R22" s="48" t="s">
        <v>43</v>
      </c>
      <c r="S22" s="2" t="str">
        <f t="shared" si="15"/>
        <v>WO</v>
      </c>
      <c r="T22" s="48" t="s">
        <v>43</v>
      </c>
      <c r="U22" s="48" t="s">
        <v>43</v>
      </c>
      <c r="V22" s="48" t="s">
        <v>43</v>
      </c>
      <c r="W22" s="48" t="s">
        <v>43</v>
      </c>
      <c r="X22" s="48" t="s">
        <v>43</v>
      </c>
      <c r="Y22" s="48" t="s">
        <v>44</v>
      </c>
      <c r="Z22" s="2" t="str">
        <f t="shared" si="15"/>
        <v>WO</v>
      </c>
      <c r="AA22" s="48" t="s">
        <v>43</v>
      </c>
      <c r="AB22" s="48" t="s">
        <v>43</v>
      </c>
      <c r="AC22" s="48" t="s">
        <v>41</v>
      </c>
      <c r="AD22" s="48" t="s">
        <v>43</v>
      </c>
      <c r="AE22" s="48" t="s">
        <v>44</v>
      </c>
      <c r="AF22" s="48" t="s">
        <v>43</v>
      </c>
      <c r="AG22" s="2" t="str">
        <f t="shared" si="14"/>
        <v>WO</v>
      </c>
      <c r="AH22" s="48" t="s">
        <v>43</v>
      </c>
      <c r="AI22" s="48" t="s">
        <v>43</v>
      </c>
      <c r="AJ22" s="48" t="s">
        <v>43</v>
      </c>
      <c r="AK22" s="48" t="s">
        <v>43</v>
      </c>
      <c r="AL22" s="48" t="s">
        <v>44</v>
      </c>
      <c r="AM22" s="48" t="s">
        <v>41</v>
      </c>
      <c r="AN22" s="2" t="str">
        <f t="shared" si="14"/>
        <v>WO</v>
      </c>
      <c r="AO22" s="60" t="s">
        <v>43</v>
      </c>
      <c r="AP22" s="42"/>
      <c r="AQ22" s="42"/>
      <c r="AR22" s="3">
        <v>14</v>
      </c>
      <c r="AS22" s="3">
        <v>1014</v>
      </c>
      <c r="AT22" s="3" t="str">
        <f t="shared" si="4"/>
        <v>March</v>
      </c>
      <c r="AU22" s="36" t="s">
        <v>16</v>
      </c>
      <c r="AV22">
        <f t="shared" si="5"/>
        <v>20</v>
      </c>
      <c r="AW22">
        <f t="shared" si="6"/>
        <v>3</v>
      </c>
      <c r="AX22">
        <f t="shared" si="7"/>
        <v>3</v>
      </c>
      <c r="AY22">
        <f t="shared" si="8"/>
        <v>5</v>
      </c>
      <c r="AZ22">
        <f t="shared" si="9"/>
        <v>31</v>
      </c>
      <c r="BA22">
        <f t="shared" si="10"/>
        <v>28</v>
      </c>
      <c r="BB22" s="28">
        <v>41000</v>
      </c>
      <c r="BC22" s="29">
        <f t="shared" si="11"/>
        <v>1322.5806451612902</v>
      </c>
      <c r="BD22" s="28">
        <f t="shared" si="12"/>
        <v>3967.7419354838707</v>
      </c>
      <c r="BE22" s="28">
        <f t="shared" si="13"/>
        <v>37032.258064516129</v>
      </c>
    </row>
    <row r="23" spans="4:59" ht="15.6" x14ac:dyDescent="0.3">
      <c r="D23" s="42"/>
      <c r="E23" s="42"/>
      <c r="F23" s="42"/>
      <c r="G23" s="59">
        <v>15</v>
      </c>
      <c r="H23" s="10">
        <v>1015</v>
      </c>
      <c r="I23" s="11" t="s">
        <v>17</v>
      </c>
      <c r="J23" s="49">
        <f t="shared" si="3"/>
        <v>5</v>
      </c>
      <c r="K23" s="48" t="s">
        <v>43</v>
      </c>
      <c r="L23" s="2" t="str">
        <f t="shared" si="15"/>
        <v>WO</v>
      </c>
      <c r="M23" s="48" t="s">
        <v>43</v>
      </c>
      <c r="N23" s="48" t="s">
        <v>43</v>
      </c>
      <c r="O23" s="48" t="s">
        <v>41</v>
      </c>
      <c r="P23" s="48" t="s">
        <v>43</v>
      </c>
      <c r="Q23" s="48" t="s">
        <v>43</v>
      </c>
      <c r="R23" s="48" t="s">
        <v>43</v>
      </c>
      <c r="S23" s="2" t="str">
        <f t="shared" si="15"/>
        <v>WO</v>
      </c>
      <c r="T23" s="48" t="s">
        <v>43</v>
      </c>
      <c r="U23" s="48" t="s">
        <v>43</v>
      </c>
      <c r="V23" s="48" t="s">
        <v>43</v>
      </c>
      <c r="W23" s="48" t="s">
        <v>43</v>
      </c>
      <c r="X23" s="48" t="s">
        <v>43</v>
      </c>
      <c r="Y23" s="48" t="s">
        <v>43</v>
      </c>
      <c r="Z23" s="2" t="str">
        <f t="shared" si="15"/>
        <v>WO</v>
      </c>
      <c r="AA23" s="48" t="s">
        <v>43</v>
      </c>
      <c r="AB23" s="48" t="s">
        <v>43</v>
      </c>
      <c r="AC23" s="48" t="s">
        <v>41</v>
      </c>
      <c r="AD23" s="48" t="s">
        <v>43</v>
      </c>
      <c r="AE23" s="48" t="s">
        <v>43</v>
      </c>
      <c r="AF23" s="48" t="s">
        <v>43</v>
      </c>
      <c r="AG23" s="2" t="str">
        <f t="shared" si="14"/>
        <v>WO</v>
      </c>
      <c r="AH23" s="48" t="s">
        <v>43</v>
      </c>
      <c r="AI23" s="48" t="s">
        <v>43</v>
      </c>
      <c r="AJ23" s="48" t="s">
        <v>43</v>
      </c>
      <c r="AK23" s="48" t="s">
        <v>43</v>
      </c>
      <c r="AL23" s="48" t="s">
        <v>43</v>
      </c>
      <c r="AM23" s="48" t="s">
        <v>41</v>
      </c>
      <c r="AN23" s="2" t="str">
        <f t="shared" si="14"/>
        <v>WO</v>
      </c>
      <c r="AO23" s="60" t="s">
        <v>43</v>
      </c>
      <c r="AP23" s="42"/>
      <c r="AQ23" s="42"/>
      <c r="AR23" s="3">
        <v>15</v>
      </c>
      <c r="AS23" s="3">
        <v>1015</v>
      </c>
      <c r="AT23" s="3" t="str">
        <f t="shared" si="4"/>
        <v>March</v>
      </c>
      <c r="AU23" s="36" t="s">
        <v>17</v>
      </c>
      <c r="AV23">
        <f t="shared" si="5"/>
        <v>23</v>
      </c>
      <c r="AW23">
        <f t="shared" si="6"/>
        <v>0</v>
      </c>
      <c r="AX23">
        <f t="shared" si="7"/>
        <v>3</v>
      </c>
      <c r="AY23">
        <f t="shared" si="8"/>
        <v>5</v>
      </c>
      <c r="AZ23">
        <f t="shared" si="9"/>
        <v>31</v>
      </c>
      <c r="BA23">
        <f t="shared" si="10"/>
        <v>31</v>
      </c>
      <c r="BB23" s="28">
        <v>45000</v>
      </c>
      <c r="BC23" s="29">
        <f t="shared" si="11"/>
        <v>1451.6129032258063</v>
      </c>
      <c r="BD23" s="28">
        <f t="shared" si="12"/>
        <v>0</v>
      </c>
      <c r="BE23" s="28">
        <f t="shared" si="13"/>
        <v>45000</v>
      </c>
    </row>
    <row r="24" spans="4:59" ht="15.6" x14ac:dyDescent="0.3">
      <c r="D24" s="42"/>
      <c r="E24" s="42"/>
      <c r="F24" s="42"/>
      <c r="G24" s="59">
        <v>16</v>
      </c>
      <c r="H24" s="10">
        <v>1016</v>
      </c>
      <c r="I24" s="11" t="s">
        <v>18</v>
      </c>
      <c r="J24" s="49">
        <f t="shared" si="3"/>
        <v>5</v>
      </c>
      <c r="K24" s="48" t="s">
        <v>43</v>
      </c>
      <c r="L24" s="2" t="str">
        <f t="shared" si="15"/>
        <v>WO</v>
      </c>
      <c r="M24" s="48" t="s">
        <v>43</v>
      </c>
      <c r="N24" s="48" t="s">
        <v>43</v>
      </c>
      <c r="O24" s="48" t="s">
        <v>41</v>
      </c>
      <c r="P24" s="48" t="s">
        <v>43</v>
      </c>
      <c r="Q24" s="48" t="s">
        <v>43</v>
      </c>
      <c r="R24" s="48" t="s">
        <v>43</v>
      </c>
      <c r="S24" s="2" t="str">
        <f t="shared" si="15"/>
        <v>WO</v>
      </c>
      <c r="T24" s="48" t="s">
        <v>43</v>
      </c>
      <c r="U24" s="48" t="s">
        <v>43</v>
      </c>
      <c r="V24" s="48" t="s">
        <v>43</v>
      </c>
      <c r="W24" s="48" t="s">
        <v>43</v>
      </c>
      <c r="X24" s="48" t="s">
        <v>43</v>
      </c>
      <c r="Y24" s="48" t="s">
        <v>43</v>
      </c>
      <c r="Z24" s="2" t="str">
        <f t="shared" si="15"/>
        <v>WO</v>
      </c>
      <c r="AA24" s="48" t="s">
        <v>43</v>
      </c>
      <c r="AB24" s="48" t="s">
        <v>43</v>
      </c>
      <c r="AC24" s="48" t="s">
        <v>41</v>
      </c>
      <c r="AD24" s="48" t="s">
        <v>43</v>
      </c>
      <c r="AE24" s="48" t="s">
        <v>43</v>
      </c>
      <c r="AF24" s="48" t="s">
        <v>43</v>
      </c>
      <c r="AG24" s="2" t="str">
        <f t="shared" si="14"/>
        <v>WO</v>
      </c>
      <c r="AH24" s="48" t="s">
        <v>43</v>
      </c>
      <c r="AI24" s="48" t="s">
        <v>43</v>
      </c>
      <c r="AJ24" s="48" t="s">
        <v>43</v>
      </c>
      <c r="AK24" s="48" t="s">
        <v>43</v>
      </c>
      <c r="AL24" s="48" t="s">
        <v>43</v>
      </c>
      <c r="AM24" s="48" t="s">
        <v>41</v>
      </c>
      <c r="AN24" s="2" t="str">
        <f t="shared" si="14"/>
        <v>WO</v>
      </c>
      <c r="AO24" s="60" t="s">
        <v>43</v>
      </c>
      <c r="AP24" s="42"/>
      <c r="AQ24" s="42"/>
      <c r="AR24" s="3">
        <v>16</v>
      </c>
      <c r="AS24" s="3">
        <v>1016</v>
      </c>
      <c r="AT24" s="3" t="str">
        <f t="shared" si="4"/>
        <v>March</v>
      </c>
      <c r="AU24" s="36" t="s">
        <v>18</v>
      </c>
      <c r="AV24">
        <f t="shared" si="5"/>
        <v>23</v>
      </c>
      <c r="AW24">
        <f t="shared" si="6"/>
        <v>0</v>
      </c>
      <c r="AX24">
        <f t="shared" si="7"/>
        <v>3</v>
      </c>
      <c r="AY24">
        <f t="shared" si="8"/>
        <v>5</v>
      </c>
      <c r="AZ24">
        <f t="shared" si="9"/>
        <v>31</v>
      </c>
      <c r="BA24">
        <f t="shared" si="10"/>
        <v>31</v>
      </c>
      <c r="BB24" s="28">
        <v>21000</v>
      </c>
      <c r="BC24" s="29">
        <f t="shared" si="11"/>
        <v>677.41935483870964</v>
      </c>
      <c r="BD24" s="28">
        <f t="shared" si="12"/>
        <v>0</v>
      </c>
      <c r="BE24" s="28">
        <f t="shared" si="13"/>
        <v>21000</v>
      </c>
    </row>
    <row r="25" spans="4:59" ht="15.6" x14ac:dyDescent="0.3">
      <c r="D25" s="42"/>
      <c r="E25" s="42"/>
      <c r="F25" s="42"/>
      <c r="G25" s="59">
        <v>17</v>
      </c>
      <c r="H25" s="10">
        <v>1017</v>
      </c>
      <c r="I25" s="11" t="s">
        <v>19</v>
      </c>
      <c r="J25" s="49">
        <f t="shared" si="3"/>
        <v>5</v>
      </c>
      <c r="K25" s="48" t="s">
        <v>43</v>
      </c>
      <c r="L25" s="2" t="str">
        <f t="shared" si="15"/>
        <v>WO</v>
      </c>
      <c r="M25" s="48" t="s">
        <v>44</v>
      </c>
      <c r="N25" s="48" t="s">
        <v>43</v>
      </c>
      <c r="O25" s="48" t="s">
        <v>41</v>
      </c>
      <c r="P25" s="48" t="s">
        <v>43</v>
      </c>
      <c r="Q25" s="48" t="s">
        <v>43</v>
      </c>
      <c r="R25" s="48" t="s">
        <v>43</v>
      </c>
      <c r="S25" s="2" t="str">
        <f t="shared" si="15"/>
        <v>WO</v>
      </c>
      <c r="T25" s="48" t="s">
        <v>44</v>
      </c>
      <c r="U25" s="48" t="s">
        <v>43</v>
      </c>
      <c r="V25" s="48" t="s">
        <v>43</v>
      </c>
      <c r="W25" s="48" t="s">
        <v>43</v>
      </c>
      <c r="X25" s="48" t="s">
        <v>43</v>
      </c>
      <c r="Y25" s="48" t="s">
        <v>43</v>
      </c>
      <c r="Z25" s="2" t="str">
        <f t="shared" si="15"/>
        <v>WO</v>
      </c>
      <c r="AA25" s="48" t="s">
        <v>43</v>
      </c>
      <c r="AB25" s="48" t="s">
        <v>43</v>
      </c>
      <c r="AC25" s="48" t="s">
        <v>41</v>
      </c>
      <c r="AD25" s="48" t="s">
        <v>43</v>
      </c>
      <c r="AE25" s="48" t="s">
        <v>43</v>
      </c>
      <c r="AF25" s="48" t="s">
        <v>43</v>
      </c>
      <c r="AG25" s="2" t="str">
        <f t="shared" si="14"/>
        <v>WO</v>
      </c>
      <c r="AH25" s="48" t="s">
        <v>43</v>
      </c>
      <c r="AI25" s="48" t="s">
        <v>43</v>
      </c>
      <c r="AJ25" s="48" t="s">
        <v>43</v>
      </c>
      <c r="AK25" s="48" t="s">
        <v>43</v>
      </c>
      <c r="AL25" s="48" t="s">
        <v>43</v>
      </c>
      <c r="AM25" s="48" t="s">
        <v>41</v>
      </c>
      <c r="AN25" s="2" t="str">
        <f t="shared" si="14"/>
        <v>WO</v>
      </c>
      <c r="AO25" s="60" t="s">
        <v>43</v>
      </c>
      <c r="AP25" s="42"/>
      <c r="AQ25" s="42"/>
      <c r="AR25" s="3">
        <v>17</v>
      </c>
      <c r="AS25" s="3">
        <v>1017</v>
      </c>
      <c r="AT25" s="3" t="str">
        <f t="shared" si="4"/>
        <v>March</v>
      </c>
      <c r="AU25" s="36" t="s">
        <v>19</v>
      </c>
      <c r="AV25">
        <f t="shared" si="5"/>
        <v>21</v>
      </c>
      <c r="AW25">
        <f t="shared" si="6"/>
        <v>2</v>
      </c>
      <c r="AX25">
        <f t="shared" si="7"/>
        <v>3</v>
      </c>
      <c r="AY25">
        <f t="shared" si="8"/>
        <v>5</v>
      </c>
      <c r="AZ25">
        <f t="shared" si="9"/>
        <v>31</v>
      </c>
      <c r="BA25">
        <f t="shared" si="10"/>
        <v>29</v>
      </c>
      <c r="BB25" s="28">
        <v>26000</v>
      </c>
      <c r="BC25" s="29">
        <f t="shared" si="11"/>
        <v>838.70967741935488</v>
      </c>
      <c r="BD25" s="28">
        <f t="shared" si="12"/>
        <v>1677.4193548387098</v>
      </c>
      <c r="BE25" s="28">
        <f t="shared" si="13"/>
        <v>24322.580645161292</v>
      </c>
    </row>
    <row r="26" spans="4:59" ht="15.6" x14ac:dyDescent="0.3">
      <c r="D26" s="42"/>
      <c r="E26" s="42"/>
      <c r="F26" s="42"/>
      <c r="G26" s="59">
        <v>18</v>
      </c>
      <c r="H26" s="10">
        <v>1018</v>
      </c>
      <c r="I26" s="11" t="s">
        <v>20</v>
      </c>
      <c r="J26" s="49">
        <f t="shared" si="3"/>
        <v>5</v>
      </c>
      <c r="K26" s="48" t="s">
        <v>43</v>
      </c>
      <c r="L26" s="2" t="str">
        <f t="shared" si="15"/>
        <v>WO</v>
      </c>
      <c r="M26" s="48" t="s">
        <v>43</v>
      </c>
      <c r="N26" s="48" t="s">
        <v>43</v>
      </c>
      <c r="O26" s="48" t="s">
        <v>41</v>
      </c>
      <c r="P26" s="48" t="s">
        <v>43</v>
      </c>
      <c r="Q26" s="48" t="s">
        <v>44</v>
      </c>
      <c r="R26" s="48" t="s">
        <v>43</v>
      </c>
      <c r="S26" s="2" t="str">
        <f t="shared" si="15"/>
        <v>WO</v>
      </c>
      <c r="T26" s="48" t="s">
        <v>43</v>
      </c>
      <c r="U26" s="48" t="s">
        <v>43</v>
      </c>
      <c r="V26" s="48" t="s">
        <v>43</v>
      </c>
      <c r="W26" s="48" t="s">
        <v>44</v>
      </c>
      <c r="X26" s="48" t="s">
        <v>43</v>
      </c>
      <c r="Y26" s="48" t="s">
        <v>43</v>
      </c>
      <c r="Z26" s="2" t="str">
        <f t="shared" si="15"/>
        <v>WO</v>
      </c>
      <c r="AA26" s="48" t="s">
        <v>43</v>
      </c>
      <c r="AB26" s="48" t="s">
        <v>43</v>
      </c>
      <c r="AC26" s="48" t="s">
        <v>41</v>
      </c>
      <c r="AD26" s="48" t="s">
        <v>43</v>
      </c>
      <c r="AE26" s="48" t="s">
        <v>43</v>
      </c>
      <c r="AF26" s="48" t="s">
        <v>43</v>
      </c>
      <c r="AG26" s="2" t="str">
        <f t="shared" si="14"/>
        <v>WO</v>
      </c>
      <c r="AH26" s="48" t="s">
        <v>43</v>
      </c>
      <c r="AI26" s="48" t="s">
        <v>43</v>
      </c>
      <c r="AJ26" s="48" t="s">
        <v>44</v>
      </c>
      <c r="AK26" s="48" t="s">
        <v>43</v>
      </c>
      <c r="AL26" s="48" t="s">
        <v>43</v>
      </c>
      <c r="AM26" s="48" t="s">
        <v>41</v>
      </c>
      <c r="AN26" s="2" t="str">
        <f t="shared" si="14"/>
        <v>WO</v>
      </c>
      <c r="AO26" s="60" t="s">
        <v>43</v>
      </c>
      <c r="AP26" s="42"/>
      <c r="AQ26" s="42"/>
      <c r="AR26" s="3">
        <v>18</v>
      </c>
      <c r="AS26" s="3">
        <v>1018</v>
      </c>
      <c r="AT26" s="3" t="str">
        <f t="shared" si="4"/>
        <v>March</v>
      </c>
      <c r="AU26" s="36" t="s">
        <v>20</v>
      </c>
      <c r="AV26">
        <f t="shared" si="5"/>
        <v>20</v>
      </c>
      <c r="AW26">
        <f t="shared" si="6"/>
        <v>3</v>
      </c>
      <c r="AX26">
        <f t="shared" si="7"/>
        <v>3</v>
      </c>
      <c r="AY26">
        <f t="shared" si="8"/>
        <v>5</v>
      </c>
      <c r="AZ26">
        <f t="shared" si="9"/>
        <v>31</v>
      </c>
      <c r="BA26">
        <f t="shared" si="10"/>
        <v>28</v>
      </c>
      <c r="BB26" s="28">
        <v>35000</v>
      </c>
      <c r="BC26" s="29">
        <f t="shared" si="11"/>
        <v>1129.0322580645161</v>
      </c>
      <c r="BD26" s="28">
        <f t="shared" si="12"/>
        <v>3387.0967741935483</v>
      </c>
      <c r="BE26" s="28">
        <f t="shared" si="13"/>
        <v>31612.903225806451</v>
      </c>
    </row>
    <row r="27" spans="4:59" ht="15.6" x14ac:dyDescent="0.3">
      <c r="D27" s="42"/>
      <c r="E27" s="42"/>
      <c r="F27" s="42"/>
      <c r="G27" s="59">
        <v>19</v>
      </c>
      <c r="H27" s="10">
        <v>1019</v>
      </c>
      <c r="I27" s="11" t="s">
        <v>21</v>
      </c>
      <c r="J27" s="49">
        <f t="shared" si="3"/>
        <v>5</v>
      </c>
      <c r="K27" s="48" t="s">
        <v>43</v>
      </c>
      <c r="L27" s="2" t="str">
        <f t="shared" si="15"/>
        <v>WO</v>
      </c>
      <c r="M27" s="48" t="s">
        <v>43</v>
      </c>
      <c r="N27" s="48" t="s">
        <v>43</v>
      </c>
      <c r="O27" s="48" t="s">
        <v>41</v>
      </c>
      <c r="P27" s="48" t="s">
        <v>43</v>
      </c>
      <c r="Q27" s="48" t="s">
        <v>43</v>
      </c>
      <c r="R27" s="48" t="s">
        <v>43</v>
      </c>
      <c r="S27" s="2" t="str">
        <f t="shared" si="15"/>
        <v>WO</v>
      </c>
      <c r="T27" s="48" t="s">
        <v>43</v>
      </c>
      <c r="U27" s="48" t="s">
        <v>43</v>
      </c>
      <c r="V27" s="48" t="s">
        <v>43</v>
      </c>
      <c r="W27" s="48" t="s">
        <v>43</v>
      </c>
      <c r="X27" s="48" t="s">
        <v>43</v>
      </c>
      <c r="Y27" s="48" t="s">
        <v>43</v>
      </c>
      <c r="Z27" s="2" t="str">
        <f t="shared" si="15"/>
        <v>WO</v>
      </c>
      <c r="AA27" s="48" t="s">
        <v>43</v>
      </c>
      <c r="AB27" s="48" t="s">
        <v>43</v>
      </c>
      <c r="AC27" s="48" t="s">
        <v>41</v>
      </c>
      <c r="AD27" s="48" t="s">
        <v>43</v>
      </c>
      <c r="AE27" s="48" t="s">
        <v>43</v>
      </c>
      <c r="AF27" s="48" t="s">
        <v>43</v>
      </c>
      <c r="AG27" s="2" t="str">
        <f t="shared" si="14"/>
        <v>WO</v>
      </c>
      <c r="AH27" s="48" t="s">
        <v>43</v>
      </c>
      <c r="AI27" s="48" t="s">
        <v>43</v>
      </c>
      <c r="AJ27" s="48" t="s">
        <v>43</v>
      </c>
      <c r="AK27" s="48" t="s">
        <v>43</v>
      </c>
      <c r="AL27" s="48" t="s">
        <v>43</v>
      </c>
      <c r="AM27" s="48" t="s">
        <v>41</v>
      </c>
      <c r="AN27" s="2" t="str">
        <f t="shared" si="14"/>
        <v>WO</v>
      </c>
      <c r="AO27" s="60" t="s">
        <v>43</v>
      </c>
      <c r="AP27" s="42"/>
      <c r="AQ27" s="42"/>
      <c r="AR27" s="3">
        <v>19</v>
      </c>
      <c r="AS27" s="3">
        <v>1019</v>
      </c>
      <c r="AT27" s="3" t="str">
        <f t="shared" si="4"/>
        <v>March</v>
      </c>
      <c r="AU27" s="36" t="s">
        <v>21</v>
      </c>
      <c r="AV27">
        <f t="shared" si="5"/>
        <v>23</v>
      </c>
      <c r="AW27">
        <f t="shared" si="6"/>
        <v>0</v>
      </c>
      <c r="AX27">
        <f t="shared" si="7"/>
        <v>3</v>
      </c>
      <c r="AY27">
        <f t="shared" si="8"/>
        <v>5</v>
      </c>
      <c r="AZ27">
        <f t="shared" si="9"/>
        <v>31</v>
      </c>
      <c r="BA27">
        <f t="shared" si="10"/>
        <v>31</v>
      </c>
      <c r="BB27" s="28">
        <v>55000</v>
      </c>
      <c r="BC27" s="29">
        <f t="shared" si="11"/>
        <v>1774.1935483870968</v>
      </c>
      <c r="BD27" s="28">
        <f t="shared" si="12"/>
        <v>0</v>
      </c>
      <c r="BE27" s="28">
        <f t="shared" si="13"/>
        <v>55000</v>
      </c>
    </row>
    <row r="28" spans="4:59" ht="16.2" thickBot="1" x14ac:dyDescent="0.35">
      <c r="D28" s="42"/>
      <c r="E28" s="42"/>
      <c r="F28" s="42"/>
      <c r="G28" s="61">
        <v>20</v>
      </c>
      <c r="H28" s="62">
        <v>1020</v>
      </c>
      <c r="I28" s="63" t="s">
        <v>22</v>
      </c>
      <c r="J28" s="64">
        <f t="shared" si="3"/>
        <v>5</v>
      </c>
      <c r="K28" s="65" t="s">
        <v>43</v>
      </c>
      <c r="L28" s="66" t="str">
        <f t="shared" si="15"/>
        <v>WO</v>
      </c>
      <c r="M28" s="65" t="s">
        <v>43</v>
      </c>
      <c r="N28" s="65" t="s">
        <v>43</v>
      </c>
      <c r="O28" s="65" t="s">
        <v>41</v>
      </c>
      <c r="P28" s="65" t="s">
        <v>44</v>
      </c>
      <c r="Q28" s="65" t="s">
        <v>43</v>
      </c>
      <c r="R28" s="65" t="s">
        <v>43</v>
      </c>
      <c r="S28" s="66" t="str">
        <f t="shared" si="15"/>
        <v>WO</v>
      </c>
      <c r="T28" s="65" t="s">
        <v>43</v>
      </c>
      <c r="U28" s="65" t="s">
        <v>44</v>
      </c>
      <c r="V28" s="65" t="s">
        <v>43</v>
      </c>
      <c r="W28" s="65" t="s">
        <v>43</v>
      </c>
      <c r="X28" s="65" t="s">
        <v>43</v>
      </c>
      <c r="Y28" s="65" t="s">
        <v>44</v>
      </c>
      <c r="Z28" s="66" t="str">
        <f t="shared" si="15"/>
        <v>WO</v>
      </c>
      <c r="AA28" s="65" t="s">
        <v>43</v>
      </c>
      <c r="AB28" s="65" t="s">
        <v>43</v>
      </c>
      <c r="AC28" s="65" t="s">
        <v>41</v>
      </c>
      <c r="AD28" s="65" t="s">
        <v>44</v>
      </c>
      <c r="AE28" s="65" t="s">
        <v>43</v>
      </c>
      <c r="AF28" s="65" t="s">
        <v>43</v>
      </c>
      <c r="AG28" s="66" t="str">
        <f t="shared" si="14"/>
        <v>WO</v>
      </c>
      <c r="AH28" s="65" t="s">
        <v>44</v>
      </c>
      <c r="AI28" s="65" t="s">
        <v>43</v>
      </c>
      <c r="AJ28" s="65" t="s">
        <v>43</v>
      </c>
      <c r="AK28" s="65" t="s">
        <v>43</v>
      </c>
      <c r="AL28" s="65" t="s">
        <v>43</v>
      </c>
      <c r="AM28" s="65" t="s">
        <v>41</v>
      </c>
      <c r="AN28" s="66" t="str">
        <f t="shared" si="14"/>
        <v>WO</v>
      </c>
      <c r="AO28" s="67" t="s">
        <v>43</v>
      </c>
      <c r="AP28" s="42"/>
      <c r="AQ28" s="42"/>
      <c r="AR28" s="37">
        <v>20</v>
      </c>
      <c r="AS28" s="37">
        <v>1020</v>
      </c>
      <c r="AT28" s="37" t="str">
        <f t="shared" si="4"/>
        <v>March</v>
      </c>
      <c r="AU28" s="38" t="s">
        <v>22</v>
      </c>
      <c r="AV28" s="33">
        <f t="shared" si="5"/>
        <v>18</v>
      </c>
      <c r="AW28" s="33">
        <f t="shared" si="6"/>
        <v>5</v>
      </c>
      <c r="AX28" s="33">
        <f t="shared" si="7"/>
        <v>3</v>
      </c>
      <c r="AY28" s="33">
        <f t="shared" si="8"/>
        <v>5</v>
      </c>
      <c r="AZ28" s="33">
        <f t="shared" si="9"/>
        <v>31</v>
      </c>
      <c r="BA28" s="33">
        <f t="shared" si="10"/>
        <v>26</v>
      </c>
      <c r="BB28" s="34">
        <v>44000</v>
      </c>
      <c r="BC28" s="35">
        <f t="shared" si="11"/>
        <v>1419.3548387096773</v>
      </c>
      <c r="BD28" s="34">
        <f t="shared" si="12"/>
        <v>7096.7741935483864</v>
      </c>
      <c r="BE28" s="34">
        <f t="shared" si="13"/>
        <v>36903.225806451614</v>
      </c>
    </row>
    <row r="29" spans="4:59" x14ac:dyDescent="0.3"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</row>
    <row r="30" spans="4:59" x14ac:dyDescent="0.3"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</row>
    <row r="31" spans="4:59" x14ac:dyDescent="0.3"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</row>
    <row r="32" spans="4:59" x14ac:dyDescent="0.3"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</row>
    <row r="33" spans="4:59" x14ac:dyDescent="0.3"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</row>
    <row r="34" spans="4:59" x14ac:dyDescent="0.3"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4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</row>
    <row r="35" spans="4:59" x14ac:dyDescent="0.3"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</row>
    <row r="36" spans="4:59" x14ac:dyDescent="0.3"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</row>
    <row r="37" spans="4:59" x14ac:dyDescent="0.3"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</row>
    <row r="38" spans="4:59" x14ac:dyDescent="0.3"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</row>
    <row r="39" spans="4:59" x14ac:dyDescent="0.3"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</row>
    <row r="40" spans="4:59" x14ac:dyDescent="0.3"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</row>
    <row r="41" spans="4:59" x14ac:dyDescent="0.3"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</row>
    <row r="42" spans="4:59" x14ac:dyDescent="0.3"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</row>
    <row r="43" spans="4:59" x14ac:dyDescent="0.3"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</row>
    <row r="44" spans="4:59" x14ac:dyDescent="0.3"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</row>
  </sheetData>
  <mergeCells count="1">
    <mergeCell ref="G7:I7"/>
  </mergeCells>
  <conditionalFormatting sqref="K9:AO28">
    <cfRule type="containsText" dxfId="39" priority="1" operator="containsText" text="L">
      <formula>NOT(ISERROR(SEARCH("L",K9)))</formula>
    </cfRule>
    <cfRule type="containsText" dxfId="38" priority="2" operator="containsText" text="A">
      <formula>NOT(ISERROR(SEARCH("A",K9)))</formula>
    </cfRule>
    <cfRule type="containsText" dxfId="37" priority="3" operator="containsText" text="P">
      <formula>NOT(ISERROR(SEARCH("P",K9)))</formula>
    </cfRule>
    <cfRule type="containsText" dxfId="36" priority="4" operator="containsText" text="WO">
      <formula>NOT(ISERROR(SEARCH("WO",K9)))</formula>
    </cfRule>
  </conditionalFormatting>
  <dataValidations count="1">
    <dataValidation type="list" allowBlank="1" showInputMessage="1" showErrorMessage="1" sqref="AO9:AO28 AH9:AM28 T9:Y28 AA9:AF28 K9:K28 M9:R28" xr:uid="{3E8A38EC-F221-4526-B7FC-B266058C5A78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D7A01E-2A04-4C77-84ED-DEC9CA88AF45}">
          <x14:formula1>
            <xm:f>Rough!$A$1:$A$12</xm:f>
          </x14:formula1>
          <xm:sqref>H5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848C8-EE0E-492A-B640-4B6AFB8A2127}">
  <dimension ref="D1:BG44"/>
  <sheetViews>
    <sheetView topLeftCell="AB1" zoomScaleNormal="100" workbookViewId="0">
      <selection activeCell="AS11" sqref="AS11"/>
    </sheetView>
  </sheetViews>
  <sheetFormatPr defaultRowHeight="14.4" x14ac:dyDescent="0.3"/>
  <cols>
    <col min="7" max="7" width="9.6640625" customWidth="1"/>
    <col min="8" max="8" width="14.88671875" customWidth="1"/>
    <col min="9" max="9" width="20.21875" customWidth="1"/>
    <col min="10" max="10" width="9.88671875" bestFit="1" customWidth="1"/>
    <col min="11" max="11" width="4.88671875" bestFit="1" customWidth="1"/>
    <col min="12" max="12" width="5.5546875" bestFit="1" customWidth="1"/>
    <col min="13" max="13" width="5" bestFit="1" customWidth="1"/>
    <col min="14" max="14" width="4.21875" bestFit="1" customWidth="1"/>
    <col min="15" max="15" width="4.33203125" bestFit="1" customWidth="1"/>
    <col min="16" max="16" width="5" bestFit="1" customWidth="1"/>
    <col min="17" max="17" width="5.44140625" bestFit="1" customWidth="1"/>
    <col min="18" max="18" width="4.88671875" bestFit="1" customWidth="1"/>
    <col min="19" max="19" width="5.5546875" bestFit="1" customWidth="1"/>
    <col min="20" max="20" width="5" bestFit="1" customWidth="1"/>
    <col min="21" max="21" width="4.21875" bestFit="1" customWidth="1"/>
    <col min="22" max="22" width="4.33203125" bestFit="1" customWidth="1"/>
    <col min="23" max="23" width="5" bestFit="1" customWidth="1"/>
    <col min="24" max="24" width="5.44140625" bestFit="1" customWidth="1"/>
    <col min="25" max="25" width="4.88671875" bestFit="1" customWidth="1"/>
    <col min="26" max="26" width="5.5546875" bestFit="1" customWidth="1"/>
    <col min="27" max="27" width="5" bestFit="1" customWidth="1"/>
    <col min="28" max="28" width="4.21875" bestFit="1" customWidth="1"/>
    <col min="29" max="29" width="4.33203125" bestFit="1" customWidth="1"/>
    <col min="30" max="30" width="5" bestFit="1" customWidth="1"/>
    <col min="31" max="31" width="5.44140625" bestFit="1" customWidth="1"/>
    <col min="32" max="32" width="4.88671875" bestFit="1" customWidth="1"/>
    <col min="33" max="33" width="5.5546875" bestFit="1" customWidth="1"/>
    <col min="34" max="34" width="5" bestFit="1" customWidth="1"/>
    <col min="35" max="35" width="4.21875" bestFit="1" customWidth="1"/>
    <col min="36" max="36" width="4.33203125" bestFit="1" customWidth="1"/>
    <col min="37" max="37" width="5" bestFit="1" customWidth="1"/>
    <col min="38" max="38" width="5.44140625" bestFit="1" customWidth="1"/>
    <col min="39" max="39" width="4.88671875" bestFit="1" customWidth="1"/>
    <col min="40" max="40" width="5.5546875" bestFit="1" customWidth="1"/>
    <col min="41" max="41" width="3.6640625" customWidth="1"/>
    <col min="44" max="44" width="7" customWidth="1"/>
    <col min="45" max="45" width="15.33203125" customWidth="1"/>
    <col min="46" max="46" width="12.5546875" customWidth="1"/>
    <col min="47" max="47" width="19" bestFit="1" customWidth="1"/>
    <col min="48" max="49" width="10.109375" customWidth="1"/>
    <col min="51" max="51" width="11.109375" customWidth="1"/>
    <col min="53" max="53" width="12.5546875" customWidth="1"/>
    <col min="54" max="54" width="12" bestFit="1" customWidth="1"/>
    <col min="55" max="55" width="16.77734375" customWidth="1"/>
    <col min="56" max="56" width="12.5546875" customWidth="1"/>
    <col min="57" max="57" width="14.44140625" customWidth="1"/>
  </cols>
  <sheetData>
    <row r="1" spans="4:59" x14ac:dyDescent="0.3">
      <c r="AQ1" s="42"/>
    </row>
    <row r="2" spans="4:59" x14ac:dyDescent="0.3">
      <c r="AQ2" s="42"/>
    </row>
    <row r="3" spans="4:59" x14ac:dyDescent="0.3">
      <c r="AQ3" s="42"/>
    </row>
    <row r="4" spans="4:59" x14ac:dyDescent="0.3">
      <c r="D4" s="42"/>
      <c r="E4" s="42"/>
      <c r="F4" s="42"/>
      <c r="G4" s="68"/>
      <c r="H4" s="68"/>
      <c r="I4" s="68">
        <f>(DATEDIF($H$5,$H$6,"D")+1)</f>
        <v>30</v>
      </c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</row>
    <row r="5" spans="4:59" x14ac:dyDescent="0.3">
      <c r="D5" s="42"/>
      <c r="E5" s="42"/>
      <c r="F5" s="42"/>
      <c r="G5" s="68" t="s">
        <v>26</v>
      </c>
      <c r="H5" s="69">
        <v>45748</v>
      </c>
      <c r="I5" s="68" t="str">
        <f>TEXT(H5,"MMMM")</f>
        <v>April</v>
      </c>
      <c r="J5" s="42"/>
      <c r="K5" s="42"/>
      <c r="L5" s="42"/>
      <c r="M5" s="43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</row>
    <row r="6" spans="4:59" ht="15" thickBot="1" x14ac:dyDescent="0.35">
      <c r="D6" s="42"/>
      <c r="E6" s="42"/>
      <c r="F6" s="42"/>
      <c r="G6" s="68" t="s">
        <v>27</v>
      </c>
      <c r="H6" s="69">
        <f>EOMONTH(H5,0)</f>
        <v>45777</v>
      </c>
      <c r="I6" s="68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</row>
    <row r="7" spans="4:59" ht="15.6" x14ac:dyDescent="0.3">
      <c r="D7" s="42"/>
      <c r="E7" s="42"/>
      <c r="F7" s="42"/>
      <c r="G7" s="83" t="s">
        <v>29</v>
      </c>
      <c r="H7" s="84"/>
      <c r="I7" s="84"/>
      <c r="J7" s="70" t="s">
        <v>28</v>
      </c>
      <c r="K7" s="70" t="str">
        <f>TEXT(K8,"DDD")</f>
        <v>Tue</v>
      </c>
      <c r="L7" s="70" t="str">
        <f t="shared" ref="L7:AO7" si="0">TEXT(L8,"DDD")</f>
        <v>Wed</v>
      </c>
      <c r="M7" s="70" t="str">
        <f t="shared" si="0"/>
        <v>Thu</v>
      </c>
      <c r="N7" s="70" t="str">
        <f t="shared" si="0"/>
        <v>Fri</v>
      </c>
      <c r="O7" s="70" t="str">
        <f t="shared" si="0"/>
        <v>Sat</v>
      </c>
      <c r="P7" s="70" t="str">
        <f t="shared" si="0"/>
        <v>Sun</v>
      </c>
      <c r="Q7" s="70" t="str">
        <f t="shared" si="0"/>
        <v>Mon</v>
      </c>
      <c r="R7" s="70" t="str">
        <f t="shared" si="0"/>
        <v>Tue</v>
      </c>
      <c r="S7" s="70" t="str">
        <f t="shared" si="0"/>
        <v>Wed</v>
      </c>
      <c r="T7" s="70" t="str">
        <f t="shared" si="0"/>
        <v>Thu</v>
      </c>
      <c r="U7" s="70" t="str">
        <f t="shared" si="0"/>
        <v>Fri</v>
      </c>
      <c r="V7" s="70" t="str">
        <f t="shared" si="0"/>
        <v>Sat</v>
      </c>
      <c r="W7" s="70" t="str">
        <f t="shared" si="0"/>
        <v>Sun</v>
      </c>
      <c r="X7" s="70" t="str">
        <f t="shared" si="0"/>
        <v>Mon</v>
      </c>
      <c r="Y7" s="70" t="str">
        <f t="shared" si="0"/>
        <v>Tue</v>
      </c>
      <c r="Z7" s="70" t="str">
        <f t="shared" si="0"/>
        <v>Wed</v>
      </c>
      <c r="AA7" s="70" t="str">
        <f t="shared" si="0"/>
        <v>Thu</v>
      </c>
      <c r="AB7" s="70" t="str">
        <f t="shared" si="0"/>
        <v>Fri</v>
      </c>
      <c r="AC7" s="70" t="str">
        <f t="shared" si="0"/>
        <v>Sat</v>
      </c>
      <c r="AD7" s="70" t="str">
        <f t="shared" si="0"/>
        <v>Sun</v>
      </c>
      <c r="AE7" s="70" t="str">
        <f t="shared" si="0"/>
        <v>Mon</v>
      </c>
      <c r="AF7" s="70" t="str">
        <f t="shared" si="0"/>
        <v>Tue</v>
      </c>
      <c r="AG7" s="70" t="str">
        <f t="shared" si="0"/>
        <v>Wed</v>
      </c>
      <c r="AH7" s="70" t="str">
        <f t="shared" si="0"/>
        <v>Thu</v>
      </c>
      <c r="AI7" s="70" t="str">
        <f t="shared" si="0"/>
        <v>Fri</v>
      </c>
      <c r="AJ7" s="70" t="str">
        <f t="shared" si="0"/>
        <v>Sat</v>
      </c>
      <c r="AK7" s="70" t="str">
        <f t="shared" si="0"/>
        <v>Sun</v>
      </c>
      <c r="AL7" s="70" t="str">
        <f t="shared" si="0"/>
        <v>Mon</v>
      </c>
      <c r="AM7" s="70" t="str">
        <f t="shared" si="0"/>
        <v>Tue</v>
      </c>
      <c r="AN7" s="70" t="str">
        <f t="shared" si="0"/>
        <v>Wed</v>
      </c>
      <c r="AO7" s="71" t="str">
        <f t="shared" si="0"/>
        <v/>
      </c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</row>
    <row r="8" spans="4:59" ht="16.2" thickBot="1" x14ac:dyDescent="0.35">
      <c r="D8" s="42"/>
      <c r="E8" s="42"/>
      <c r="F8" s="42"/>
      <c r="G8" s="57" t="s">
        <v>0</v>
      </c>
      <c r="H8" s="7" t="s">
        <v>23</v>
      </c>
      <c r="I8" s="8" t="s">
        <v>24</v>
      </c>
      <c r="J8" s="50" t="s">
        <v>25</v>
      </c>
      <c r="K8" s="51">
        <f>H5</f>
        <v>45748</v>
      </c>
      <c r="L8" s="51">
        <f>IF(K8&lt;$H$6,K8+1,"")</f>
        <v>45749</v>
      </c>
      <c r="M8" s="51">
        <f t="shared" ref="M8:AO8" si="1">IF(L8&lt;$H$6,L8+1,"")</f>
        <v>45750</v>
      </c>
      <c r="N8" s="51">
        <f t="shared" si="1"/>
        <v>45751</v>
      </c>
      <c r="O8" s="51">
        <f t="shared" si="1"/>
        <v>45752</v>
      </c>
      <c r="P8" s="51">
        <f t="shared" si="1"/>
        <v>45753</v>
      </c>
      <c r="Q8" s="51">
        <f t="shared" si="1"/>
        <v>45754</v>
      </c>
      <c r="R8" s="51">
        <f t="shared" si="1"/>
        <v>45755</v>
      </c>
      <c r="S8" s="51">
        <f t="shared" si="1"/>
        <v>45756</v>
      </c>
      <c r="T8" s="51">
        <f t="shared" si="1"/>
        <v>45757</v>
      </c>
      <c r="U8" s="51">
        <f t="shared" si="1"/>
        <v>45758</v>
      </c>
      <c r="V8" s="51">
        <f t="shared" si="1"/>
        <v>45759</v>
      </c>
      <c r="W8" s="51">
        <f t="shared" si="1"/>
        <v>45760</v>
      </c>
      <c r="X8" s="51">
        <f t="shared" si="1"/>
        <v>45761</v>
      </c>
      <c r="Y8" s="51">
        <f t="shared" si="1"/>
        <v>45762</v>
      </c>
      <c r="Z8" s="51">
        <f t="shared" si="1"/>
        <v>45763</v>
      </c>
      <c r="AA8" s="51">
        <f t="shared" si="1"/>
        <v>45764</v>
      </c>
      <c r="AB8" s="51">
        <f t="shared" si="1"/>
        <v>45765</v>
      </c>
      <c r="AC8" s="51">
        <f>IF(AB8&lt;$H$6,AB8+1,"")</f>
        <v>45766</v>
      </c>
      <c r="AD8" s="51">
        <f t="shared" si="1"/>
        <v>45767</v>
      </c>
      <c r="AE8" s="51">
        <f t="shared" si="1"/>
        <v>45768</v>
      </c>
      <c r="AF8" s="51">
        <f t="shared" si="1"/>
        <v>45769</v>
      </c>
      <c r="AG8" s="51">
        <f t="shared" si="1"/>
        <v>45770</v>
      </c>
      <c r="AH8" s="51">
        <f t="shared" si="1"/>
        <v>45771</v>
      </c>
      <c r="AI8" s="51">
        <f t="shared" si="1"/>
        <v>45772</v>
      </c>
      <c r="AJ8" s="51">
        <f t="shared" si="1"/>
        <v>45773</v>
      </c>
      <c r="AK8" s="51">
        <f t="shared" si="1"/>
        <v>45774</v>
      </c>
      <c r="AL8" s="51">
        <f>IF(AK8&lt;$H$6,AK8+1,"")</f>
        <v>45775</v>
      </c>
      <c r="AM8" s="51">
        <f t="shared" si="1"/>
        <v>45776</v>
      </c>
      <c r="AN8" s="51">
        <f t="shared" si="1"/>
        <v>45777</v>
      </c>
      <c r="AO8" s="72" t="str">
        <f t="shared" si="1"/>
        <v/>
      </c>
      <c r="AP8" s="42"/>
      <c r="AQ8" s="42"/>
      <c r="AR8" s="27" t="s">
        <v>0</v>
      </c>
      <c r="AS8" s="27" t="s">
        <v>23</v>
      </c>
      <c r="AT8" s="27" t="s">
        <v>39</v>
      </c>
      <c r="AU8" s="39" t="s">
        <v>24</v>
      </c>
      <c r="AV8" s="40" t="s">
        <v>30</v>
      </c>
      <c r="AW8" s="41" t="s">
        <v>31</v>
      </c>
      <c r="AX8" s="41" t="s">
        <v>32</v>
      </c>
      <c r="AY8" s="41" t="s">
        <v>33</v>
      </c>
      <c r="AZ8" s="41" t="s">
        <v>28</v>
      </c>
      <c r="BA8" s="41" t="s">
        <v>34</v>
      </c>
      <c r="BB8" s="41" t="s">
        <v>35</v>
      </c>
      <c r="BC8" s="41" t="s">
        <v>36</v>
      </c>
      <c r="BD8" s="41" t="s">
        <v>37</v>
      </c>
      <c r="BE8" s="41" t="s">
        <v>38</v>
      </c>
    </row>
    <row r="9" spans="4:59" ht="15.6" x14ac:dyDescent="0.3">
      <c r="D9" s="42"/>
      <c r="E9" s="42"/>
      <c r="F9" s="42"/>
      <c r="G9" s="59">
        <v>1</v>
      </c>
      <c r="H9" s="10">
        <v>1001</v>
      </c>
      <c r="I9" s="11" t="s">
        <v>3</v>
      </c>
      <c r="J9" s="52">
        <f>COUNTIF($K$7:$AO$7,"sun")</f>
        <v>4</v>
      </c>
      <c r="K9" s="53" t="s">
        <v>43</v>
      </c>
      <c r="L9" s="53" t="s">
        <v>41</v>
      </c>
      <c r="M9" s="53" t="s">
        <v>43</v>
      </c>
      <c r="N9" s="53" t="s">
        <v>43</v>
      </c>
      <c r="O9" s="53" t="s">
        <v>43</v>
      </c>
      <c r="P9" s="53" t="str">
        <f t="shared" ref="P9:AK17" si="2">IF(P$7="sun","WO","")</f>
        <v>WO</v>
      </c>
      <c r="Q9" s="53" t="s">
        <v>44</v>
      </c>
      <c r="R9" s="53" t="s">
        <v>43</v>
      </c>
      <c r="S9" s="53" t="s">
        <v>43</v>
      </c>
      <c r="T9" s="53" t="s">
        <v>43</v>
      </c>
      <c r="U9" s="53" t="s">
        <v>43</v>
      </c>
      <c r="V9" s="53" t="s">
        <v>43</v>
      </c>
      <c r="W9" s="53" t="str">
        <f t="shared" si="2"/>
        <v>WO</v>
      </c>
      <c r="X9" s="53" t="s">
        <v>43</v>
      </c>
      <c r="Y9" s="53" t="s">
        <v>43</v>
      </c>
      <c r="Z9" s="53" t="s">
        <v>43</v>
      </c>
      <c r="AA9" s="53" t="s">
        <v>41</v>
      </c>
      <c r="AB9" s="53" t="s">
        <v>43</v>
      </c>
      <c r="AC9" s="53" t="s">
        <v>44</v>
      </c>
      <c r="AD9" s="53" t="str">
        <f t="shared" si="2"/>
        <v>WO</v>
      </c>
      <c r="AE9" s="53" t="s">
        <v>43</v>
      </c>
      <c r="AF9" s="53" t="s">
        <v>43</v>
      </c>
      <c r="AG9" s="53" t="s">
        <v>43</v>
      </c>
      <c r="AH9" s="53" t="s">
        <v>43</v>
      </c>
      <c r="AI9" s="53" t="s">
        <v>43</v>
      </c>
      <c r="AJ9" s="53" t="s">
        <v>43</v>
      </c>
      <c r="AK9" s="53" t="str">
        <f t="shared" si="2"/>
        <v>WO</v>
      </c>
      <c r="AL9" s="53" t="s">
        <v>43</v>
      </c>
      <c r="AM9" s="53" t="s">
        <v>43</v>
      </c>
      <c r="AN9" s="53" t="s">
        <v>43</v>
      </c>
      <c r="AO9" s="73"/>
      <c r="AP9" s="42"/>
      <c r="AQ9" s="42"/>
      <c r="AR9" s="3">
        <v>1</v>
      </c>
      <c r="AS9" s="3">
        <v>1001</v>
      </c>
      <c r="AT9" s="3" t="str">
        <f>$I$5</f>
        <v>April</v>
      </c>
      <c r="AU9" s="36" t="s">
        <v>3</v>
      </c>
      <c r="AV9" s="30">
        <f>COUNTIF($K9:$AO9,"P")</f>
        <v>22</v>
      </c>
      <c r="AW9" s="30">
        <f>COUNTIF($K9:$AO9,"A")</f>
        <v>2</v>
      </c>
      <c r="AX9" s="30">
        <f>COUNTIF($K9:$AO9,"L")</f>
        <v>2</v>
      </c>
      <c r="AY9" s="30">
        <f>$J$9</f>
        <v>4</v>
      </c>
      <c r="AZ9" s="30">
        <f>$I$4</f>
        <v>30</v>
      </c>
      <c r="BA9" s="30">
        <f>AZ9-AW9</f>
        <v>28</v>
      </c>
      <c r="BB9" s="31">
        <v>25000</v>
      </c>
      <c r="BC9" s="32">
        <f>BB9/AZ9</f>
        <v>833.33333333333337</v>
      </c>
      <c r="BD9" s="31">
        <f>BC9*AW9</f>
        <v>1666.6666666666667</v>
      </c>
      <c r="BE9" s="31">
        <f>BB9-BD9</f>
        <v>23333.333333333332</v>
      </c>
    </row>
    <row r="10" spans="4:59" ht="15.6" x14ac:dyDescent="0.3">
      <c r="D10" s="42"/>
      <c r="E10" s="42"/>
      <c r="F10" s="42"/>
      <c r="G10" s="59">
        <v>2</v>
      </c>
      <c r="H10" s="10">
        <v>1002</v>
      </c>
      <c r="I10" s="11" t="s">
        <v>4</v>
      </c>
      <c r="J10" s="54">
        <f t="shared" ref="J10:J28" si="3">COUNTIF($K$7:$AO$7,"sun")</f>
        <v>4</v>
      </c>
      <c r="K10" s="3" t="s">
        <v>43</v>
      </c>
      <c r="L10" s="53" t="s">
        <v>41</v>
      </c>
      <c r="M10" s="3" t="s">
        <v>43</v>
      </c>
      <c r="N10" s="3" t="s">
        <v>43</v>
      </c>
      <c r="O10" s="3" t="s">
        <v>44</v>
      </c>
      <c r="P10" s="3" t="str">
        <f t="shared" si="2"/>
        <v>WO</v>
      </c>
      <c r="Q10" s="3" t="s">
        <v>43</v>
      </c>
      <c r="R10" s="3" t="s">
        <v>44</v>
      </c>
      <c r="S10" s="3" t="s">
        <v>43</v>
      </c>
      <c r="T10" s="3" t="s">
        <v>43</v>
      </c>
      <c r="U10" s="3" t="s">
        <v>43</v>
      </c>
      <c r="V10" s="3" t="s">
        <v>43</v>
      </c>
      <c r="W10" s="3" t="str">
        <f t="shared" si="2"/>
        <v>WO</v>
      </c>
      <c r="X10" s="3" t="s">
        <v>43</v>
      </c>
      <c r="Y10" s="3" t="s">
        <v>44</v>
      </c>
      <c r="Z10" s="3" t="s">
        <v>43</v>
      </c>
      <c r="AA10" s="53" t="s">
        <v>41</v>
      </c>
      <c r="AB10" s="3" t="s">
        <v>43</v>
      </c>
      <c r="AC10" s="3" t="s">
        <v>43</v>
      </c>
      <c r="AD10" s="3" t="str">
        <f t="shared" si="2"/>
        <v>WO</v>
      </c>
      <c r="AE10" s="3" t="s">
        <v>43</v>
      </c>
      <c r="AF10" s="3" t="s">
        <v>44</v>
      </c>
      <c r="AG10" s="3" t="s">
        <v>43</v>
      </c>
      <c r="AH10" s="3" t="s">
        <v>43</v>
      </c>
      <c r="AI10" s="3" t="s">
        <v>43</v>
      </c>
      <c r="AJ10" s="3" t="s">
        <v>44</v>
      </c>
      <c r="AK10" s="3" t="str">
        <f t="shared" si="2"/>
        <v>WO</v>
      </c>
      <c r="AL10" s="3" t="s">
        <v>44</v>
      </c>
      <c r="AM10" s="3" t="s">
        <v>43</v>
      </c>
      <c r="AN10" s="3" t="s">
        <v>43</v>
      </c>
      <c r="AO10" s="36"/>
      <c r="AP10" s="42"/>
      <c r="AQ10" s="42"/>
      <c r="AR10" s="3">
        <v>2</v>
      </c>
      <c r="AS10" s="3">
        <v>1002</v>
      </c>
      <c r="AT10" s="3" t="str">
        <f t="shared" ref="AT10:AT28" si="4">$I$5</f>
        <v>April</v>
      </c>
      <c r="AU10" s="36" t="s">
        <v>4</v>
      </c>
      <c r="AV10">
        <f t="shared" ref="AV10:AV28" si="5">COUNTIF($K10:$AO10,"P")</f>
        <v>18</v>
      </c>
      <c r="AW10">
        <f t="shared" ref="AW10:AW28" si="6">COUNTIF($K10:$AO10,"A")</f>
        <v>6</v>
      </c>
      <c r="AX10">
        <f t="shared" ref="AX10:AX28" si="7">COUNTIF($K10:$AO10,"L")</f>
        <v>2</v>
      </c>
      <c r="AY10">
        <f t="shared" ref="AY10:AY28" si="8">$J$9</f>
        <v>4</v>
      </c>
      <c r="AZ10">
        <f t="shared" ref="AZ10:AZ28" si="9">$I$4</f>
        <v>30</v>
      </c>
      <c r="BA10">
        <f t="shared" ref="BA10:BA28" si="10">AZ10-AW10</f>
        <v>24</v>
      </c>
      <c r="BB10" s="28">
        <v>24000</v>
      </c>
      <c r="BC10" s="29">
        <f t="shared" ref="BC10:BC28" si="11">BB10/AZ10</f>
        <v>800</v>
      </c>
      <c r="BD10" s="28">
        <f t="shared" ref="BD10:BD28" si="12">BC10*AW10</f>
        <v>4800</v>
      </c>
      <c r="BE10" s="28">
        <f t="shared" ref="BE10:BE28" si="13">BB10-BD10</f>
        <v>19200</v>
      </c>
    </row>
    <row r="11" spans="4:59" ht="15.6" x14ac:dyDescent="0.3">
      <c r="D11" s="42"/>
      <c r="E11" s="42"/>
      <c r="F11" s="42"/>
      <c r="G11" s="59">
        <v>3</v>
      </c>
      <c r="H11" s="10">
        <v>1003</v>
      </c>
      <c r="I11" s="11" t="s">
        <v>5</v>
      </c>
      <c r="J11" s="54">
        <f t="shared" si="3"/>
        <v>4</v>
      </c>
      <c r="K11" s="3" t="s">
        <v>43</v>
      </c>
      <c r="L11" s="53" t="s">
        <v>41</v>
      </c>
      <c r="M11" s="3" t="s">
        <v>44</v>
      </c>
      <c r="N11" s="3" t="s">
        <v>43</v>
      </c>
      <c r="O11" s="3" t="s">
        <v>43</v>
      </c>
      <c r="P11" s="3" t="str">
        <f t="shared" si="2"/>
        <v>WO</v>
      </c>
      <c r="Q11" s="3" t="s">
        <v>43</v>
      </c>
      <c r="R11" s="3" t="s">
        <v>43</v>
      </c>
      <c r="S11" s="3" t="s">
        <v>43</v>
      </c>
      <c r="T11" s="3" t="s">
        <v>43</v>
      </c>
      <c r="U11" s="3" t="s">
        <v>44</v>
      </c>
      <c r="V11" s="3" t="s">
        <v>43</v>
      </c>
      <c r="W11" s="3" t="str">
        <f t="shared" si="2"/>
        <v>WO</v>
      </c>
      <c r="X11" s="3" t="s">
        <v>43</v>
      </c>
      <c r="Y11" s="3" t="s">
        <v>43</v>
      </c>
      <c r="Z11" s="3" t="s">
        <v>43</v>
      </c>
      <c r="AA11" s="53" t="s">
        <v>41</v>
      </c>
      <c r="AB11" s="3" t="s">
        <v>43</v>
      </c>
      <c r="AC11" s="3" t="s">
        <v>43</v>
      </c>
      <c r="AD11" s="3" t="str">
        <f t="shared" si="2"/>
        <v>WO</v>
      </c>
      <c r="AE11" s="3" t="s">
        <v>43</v>
      </c>
      <c r="AF11" s="3" t="s">
        <v>43</v>
      </c>
      <c r="AG11" s="3" t="s">
        <v>43</v>
      </c>
      <c r="AH11" s="3" t="s">
        <v>43</v>
      </c>
      <c r="AI11" s="3" t="s">
        <v>43</v>
      </c>
      <c r="AJ11" s="3" t="s">
        <v>43</v>
      </c>
      <c r="AK11" s="3" t="str">
        <f t="shared" si="2"/>
        <v>WO</v>
      </c>
      <c r="AL11" s="3" t="s">
        <v>43</v>
      </c>
      <c r="AM11" s="3" t="s">
        <v>43</v>
      </c>
      <c r="AN11" s="3" t="s">
        <v>44</v>
      </c>
      <c r="AO11" s="36"/>
      <c r="AP11" s="42"/>
      <c r="AQ11" s="42"/>
      <c r="AR11" s="3">
        <v>3</v>
      </c>
      <c r="AS11" s="3">
        <v>1003</v>
      </c>
      <c r="AT11" s="3" t="str">
        <f t="shared" si="4"/>
        <v>April</v>
      </c>
      <c r="AU11" s="36" t="s">
        <v>5</v>
      </c>
      <c r="AV11">
        <f t="shared" si="5"/>
        <v>21</v>
      </c>
      <c r="AW11">
        <f t="shared" si="6"/>
        <v>3</v>
      </c>
      <c r="AX11">
        <f t="shared" si="7"/>
        <v>2</v>
      </c>
      <c r="AY11">
        <f t="shared" si="8"/>
        <v>4</v>
      </c>
      <c r="AZ11">
        <f t="shared" si="9"/>
        <v>30</v>
      </c>
      <c r="BA11">
        <f t="shared" si="10"/>
        <v>27</v>
      </c>
      <c r="BB11" s="28">
        <v>23000</v>
      </c>
      <c r="BC11" s="29">
        <f t="shared" si="11"/>
        <v>766.66666666666663</v>
      </c>
      <c r="BD11" s="28">
        <f t="shared" si="12"/>
        <v>2300</v>
      </c>
      <c r="BE11" s="28">
        <f t="shared" si="13"/>
        <v>20700</v>
      </c>
    </row>
    <row r="12" spans="4:59" ht="15.6" x14ac:dyDescent="0.3">
      <c r="D12" s="42"/>
      <c r="E12" s="42"/>
      <c r="F12" s="42"/>
      <c r="G12" s="59">
        <v>4</v>
      </c>
      <c r="H12" s="10">
        <v>1004</v>
      </c>
      <c r="I12" s="11" t="s">
        <v>6</v>
      </c>
      <c r="J12" s="54">
        <f t="shared" si="3"/>
        <v>4</v>
      </c>
      <c r="K12" s="3" t="s">
        <v>43</v>
      </c>
      <c r="L12" s="53" t="s">
        <v>41</v>
      </c>
      <c r="M12" s="3" t="s">
        <v>43</v>
      </c>
      <c r="N12" s="3" t="s">
        <v>43</v>
      </c>
      <c r="O12" s="3" t="s">
        <v>43</v>
      </c>
      <c r="P12" s="3" t="str">
        <f t="shared" si="2"/>
        <v>WO</v>
      </c>
      <c r="Q12" s="3" t="s">
        <v>43</v>
      </c>
      <c r="R12" s="3" t="s">
        <v>43</v>
      </c>
      <c r="S12" s="3" t="s">
        <v>44</v>
      </c>
      <c r="T12" s="3" t="s">
        <v>43</v>
      </c>
      <c r="U12" s="3" t="s">
        <v>43</v>
      </c>
      <c r="V12" s="3" t="s">
        <v>43</v>
      </c>
      <c r="W12" s="3" t="str">
        <f t="shared" si="2"/>
        <v>WO</v>
      </c>
      <c r="X12" s="3" t="s">
        <v>43</v>
      </c>
      <c r="Y12" s="3" t="s">
        <v>43</v>
      </c>
      <c r="Z12" s="3" t="s">
        <v>43</v>
      </c>
      <c r="AA12" s="53" t="s">
        <v>41</v>
      </c>
      <c r="AB12" s="3" t="s">
        <v>43</v>
      </c>
      <c r="AC12" s="3" t="s">
        <v>43</v>
      </c>
      <c r="AD12" s="3" t="str">
        <f t="shared" si="2"/>
        <v>WO</v>
      </c>
      <c r="AE12" s="3" t="s">
        <v>43</v>
      </c>
      <c r="AF12" s="3" t="s">
        <v>43</v>
      </c>
      <c r="AG12" s="3" t="s">
        <v>43</v>
      </c>
      <c r="AH12" s="3" t="s">
        <v>43</v>
      </c>
      <c r="AI12" s="3" t="s">
        <v>43</v>
      </c>
      <c r="AJ12" s="3" t="s">
        <v>43</v>
      </c>
      <c r="AK12" s="3" t="str">
        <f t="shared" si="2"/>
        <v>WO</v>
      </c>
      <c r="AL12" s="3" t="s">
        <v>43</v>
      </c>
      <c r="AM12" s="3" t="s">
        <v>43</v>
      </c>
      <c r="AN12" s="3" t="s">
        <v>43</v>
      </c>
      <c r="AO12" s="36"/>
      <c r="AP12" s="42"/>
      <c r="AQ12" s="42"/>
      <c r="AR12" s="3">
        <v>4</v>
      </c>
      <c r="AS12" s="3">
        <v>1004</v>
      </c>
      <c r="AT12" s="3" t="str">
        <f t="shared" si="4"/>
        <v>April</v>
      </c>
      <c r="AU12" s="36" t="s">
        <v>6</v>
      </c>
      <c r="AV12">
        <f t="shared" si="5"/>
        <v>23</v>
      </c>
      <c r="AW12">
        <f t="shared" si="6"/>
        <v>1</v>
      </c>
      <c r="AX12">
        <f t="shared" si="7"/>
        <v>2</v>
      </c>
      <c r="AY12">
        <f t="shared" si="8"/>
        <v>4</v>
      </c>
      <c r="AZ12">
        <f t="shared" si="9"/>
        <v>30</v>
      </c>
      <c r="BA12">
        <f t="shared" si="10"/>
        <v>29</v>
      </c>
      <c r="BB12" s="28">
        <v>25000</v>
      </c>
      <c r="BC12" s="29">
        <f t="shared" si="11"/>
        <v>833.33333333333337</v>
      </c>
      <c r="BD12" s="28">
        <f t="shared" si="12"/>
        <v>833.33333333333337</v>
      </c>
      <c r="BE12" s="28">
        <f t="shared" si="13"/>
        <v>24166.666666666668</v>
      </c>
    </row>
    <row r="13" spans="4:59" ht="15.6" x14ac:dyDescent="0.3">
      <c r="D13" s="42"/>
      <c r="E13" s="42"/>
      <c r="F13" s="42"/>
      <c r="G13" s="59">
        <v>5</v>
      </c>
      <c r="H13" s="10">
        <v>1005</v>
      </c>
      <c r="I13" s="11" t="s">
        <v>7</v>
      </c>
      <c r="J13" s="54">
        <f t="shared" si="3"/>
        <v>4</v>
      </c>
      <c r="K13" s="3" t="s">
        <v>43</v>
      </c>
      <c r="L13" s="53" t="s">
        <v>41</v>
      </c>
      <c r="M13" s="3" t="s">
        <v>43</v>
      </c>
      <c r="N13" s="3" t="s">
        <v>43</v>
      </c>
      <c r="O13" s="3" t="s">
        <v>43</v>
      </c>
      <c r="P13" s="3" t="str">
        <f t="shared" si="2"/>
        <v>WO</v>
      </c>
      <c r="Q13" s="3" t="s">
        <v>43</v>
      </c>
      <c r="R13" s="3" t="s">
        <v>43</v>
      </c>
      <c r="S13" s="3" t="s">
        <v>43</v>
      </c>
      <c r="T13" s="3" t="s">
        <v>43</v>
      </c>
      <c r="U13" s="3" t="s">
        <v>43</v>
      </c>
      <c r="V13" s="3" t="s">
        <v>43</v>
      </c>
      <c r="W13" s="3" t="str">
        <f t="shared" si="2"/>
        <v>WO</v>
      </c>
      <c r="X13" s="3" t="s">
        <v>44</v>
      </c>
      <c r="Y13" s="3" t="s">
        <v>43</v>
      </c>
      <c r="Z13" s="3" t="s">
        <v>43</v>
      </c>
      <c r="AA13" s="53" t="s">
        <v>41</v>
      </c>
      <c r="AB13" s="3" t="s">
        <v>43</v>
      </c>
      <c r="AC13" s="3" t="s">
        <v>43</v>
      </c>
      <c r="AD13" s="3" t="str">
        <f t="shared" si="2"/>
        <v>WO</v>
      </c>
      <c r="AE13" s="3" t="s">
        <v>43</v>
      </c>
      <c r="AF13" s="3" t="s">
        <v>43</v>
      </c>
      <c r="AG13" s="3" t="s">
        <v>43</v>
      </c>
      <c r="AH13" s="3" t="s">
        <v>43</v>
      </c>
      <c r="AI13" s="3" t="s">
        <v>43</v>
      </c>
      <c r="AJ13" s="3" t="s">
        <v>43</v>
      </c>
      <c r="AK13" s="3" t="str">
        <f t="shared" si="2"/>
        <v>WO</v>
      </c>
      <c r="AL13" s="3" t="s">
        <v>43</v>
      </c>
      <c r="AM13" s="3" t="s">
        <v>43</v>
      </c>
      <c r="AN13" s="3" t="s">
        <v>43</v>
      </c>
      <c r="AO13" s="36"/>
      <c r="AP13" s="42"/>
      <c r="AQ13" s="42"/>
      <c r="AR13" s="3">
        <v>5</v>
      </c>
      <c r="AS13" s="3">
        <v>1005</v>
      </c>
      <c r="AT13" s="3" t="str">
        <f t="shared" si="4"/>
        <v>April</v>
      </c>
      <c r="AU13" s="36" t="s">
        <v>7</v>
      </c>
      <c r="AV13">
        <f t="shared" si="5"/>
        <v>23</v>
      </c>
      <c r="AW13">
        <f t="shared" si="6"/>
        <v>1</v>
      </c>
      <c r="AX13">
        <f t="shared" si="7"/>
        <v>2</v>
      </c>
      <c r="AY13">
        <f t="shared" si="8"/>
        <v>4</v>
      </c>
      <c r="AZ13">
        <f t="shared" si="9"/>
        <v>30</v>
      </c>
      <c r="BA13">
        <f t="shared" si="10"/>
        <v>29</v>
      </c>
      <c r="BB13" s="28">
        <v>26000</v>
      </c>
      <c r="BC13" s="29">
        <f t="shared" si="11"/>
        <v>866.66666666666663</v>
      </c>
      <c r="BD13" s="28">
        <f t="shared" si="12"/>
        <v>866.66666666666663</v>
      </c>
      <c r="BE13" s="28">
        <f t="shared" si="13"/>
        <v>25133.333333333332</v>
      </c>
    </row>
    <row r="14" spans="4:59" ht="15.6" x14ac:dyDescent="0.3">
      <c r="D14" s="42"/>
      <c r="E14" s="42"/>
      <c r="F14" s="42"/>
      <c r="G14" s="59">
        <v>6</v>
      </c>
      <c r="H14" s="10">
        <v>1006</v>
      </c>
      <c r="I14" s="11" t="s">
        <v>8</v>
      </c>
      <c r="J14" s="54">
        <f t="shared" si="3"/>
        <v>4</v>
      </c>
      <c r="K14" s="3" t="s">
        <v>43</v>
      </c>
      <c r="L14" s="53" t="s">
        <v>41</v>
      </c>
      <c r="M14" s="3" t="s">
        <v>44</v>
      </c>
      <c r="N14" s="3" t="s">
        <v>43</v>
      </c>
      <c r="O14" s="3" t="s">
        <v>43</v>
      </c>
      <c r="P14" s="3" t="str">
        <f t="shared" si="2"/>
        <v>WO</v>
      </c>
      <c r="Q14" s="3" t="s">
        <v>44</v>
      </c>
      <c r="R14" s="3" t="s">
        <v>43</v>
      </c>
      <c r="S14" s="3" t="s">
        <v>43</v>
      </c>
      <c r="T14" s="3" t="s">
        <v>43</v>
      </c>
      <c r="U14" s="3" t="s">
        <v>44</v>
      </c>
      <c r="V14" s="3" t="s">
        <v>43</v>
      </c>
      <c r="W14" s="3" t="str">
        <f t="shared" si="2"/>
        <v>WO</v>
      </c>
      <c r="X14" s="3" t="s">
        <v>43</v>
      </c>
      <c r="Y14" s="3" t="s">
        <v>43</v>
      </c>
      <c r="Z14" s="3" t="s">
        <v>43</v>
      </c>
      <c r="AA14" s="53" t="s">
        <v>41</v>
      </c>
      <c r="AB14" s="3" t="s">
        <v>43</v>
      </c>
      <c r="AC14" s="3" t="s">
        <v>43</v>
      </c>
      <c r="AD14" s="3" t="str">
        <f t="shared" si="2"/>
        <v>WO</v>
      </c>
      <c r="AE14" s="3" t="s">
        <v>43</v>
      </c>
      <c r="AF14" s="3" t="s">
        <v>43</v>
      </c>
      <c r="AG14" s="3" t="s">
        <v>43</v>
      </c>
      <c r="AH14" s="3" t="s">
        <v>43</v>
      </c>
      <c r="AI14" s="3" t="s">
        <v>43</v>
      </c>
      <c r="AJ14" s="3" t="s">
        <v>43</v>
      </c>
      <c r="AK14" s="3" t="str">
        <f t="shared" si="2"/>
        <v>WO</v>
      </c>
      <c r="AL14" s="3" t="s">
        <v>43</v>
      </c>
      <c r="AM14" s="3" t="s">
        <v>43</v>
      </c>
      <c r="AN14" s="3" t="s">
        <v>44</v>
      </c>
      <c r="AO14" s="36"/>
      <c r="AP14" s="42"/>
      <c r="AQ14" s="42"/>
      <c r="AR14" s="3">
        <v>6</v>
      </c>
      <c r="AS14" s="3">
        <v>1006</v>
      </c>
      <c r="AT14" s="3" t="str">
        <f t="shared" si="4"/>
        <v>April</v>
      </c>
      <c r="AU14" s="36" t="s">
        <v>8</v>
      </c>
      <c r="AV14">
        <f t="shared" si="5"/>
        <v>20</v>
      </c>
      <c r="AW14">
        <f t="shared" si="6"/>
        <v>4</v>
      </c>
      <c r="AX14">
        <f t="shared" si="7"/>
        <v>2</v>
      </c>
      <c r="AY14">
        <f t="shared" si="8"/>
        <v>4</v>
      </c>
      <c r="AZ14">
        <f t="shared" si="9"/>
        <v>30</v>
      </c>
      <c r="BA14">
        <f t="shared" si="10"/>
        <v>26</v>
      </c>
      <c r="BB14" s="28">
        <v>31000</v>
      </c>
      <c r="BC14" s="29">
        <f t="shared" si="11"/>
        <v>1033.3333333333333</v>
      </c>
      <c r="BD14" s="28">
        <f t="shared" si="12"/>
        <v>4133.333333333333</v>
      </c>
      <c r="BE14" s="28">
        <f t="shared" si="13"/>
        <v>26866.666666666668</v>
      </c>
    </row>
    <row r="15" spans="4:59" ht="15.6" x14ac:dyDescent="0.3">
      <c r="D15" s="42"/>
      <c r="E15" s="42"/>
      <c r="F15" s="42"/>
      <c r="G15" s="59">
        <v>7</v>
      </c>
      <c r="H15" s="10">
        <v>1007</v>
      </c>
      <c r="I15" s="11" t="s">
        <v>9</v>
      </c>
      <c r="J15" s="54">
        <f t="shared" si="3"/>
        <v>4</v>
      </c>
      <c r="K15" s="3" t="s">
        <v>43</v>
      </c>
      <c r="L15" s="53" t="s">
        <v>41</v>
      </c>
      <c r="M15" s="3" t="s">
        <v>43</v>
      </c>
      <c r="N15" s="3" t="s">
        <v>43</v>
      </c>
      <c r="O15" s="3" t="s">
        <v>43</v>
      </c>
      <c r="P15" s="3" t="str">
        <f t="shared" si="2"/>
        <v>WO</v>
      </c>
      <c r="Q15" s="3" t="s">
        <v>43</v>
      </c>
      <c r="R15" s="3" t="s">
        <v>43</v>
      </c>
      <c r="S15" s="3" t="s">
        <v>43</v>
      </c>
      <c r="T15" s="3" t="s">
        <v>43</v>
      </c>
      <c r="U15" s="3" t="s">
        <v>43</v>
      </c>
      <c r="V15" s="3" t="s">
        <v>43</v>
      </c>
      <c r="W15" s="3" t="str">
        <f t="shared" si="2"/>
        <v>WO</v>
      </c>
      <c r="X15" s="3" t="s">
        <v>43</v>
      </c>
      <c r="Y15" s="3" t="s">
        <v>43</v>
      </c>
      <c r="Z15" s="3" t="s">
        <v>43</v>
      </c>
      <c r="AA15" s="53" t="s">
        <v>41</v>
      </c>
      <c r="AB15" s="3" t="s">
        <v>43</v>
      </c>
      <c r="AC15" s="3" t="s">
        <v>43</v>
      </c>
      <c r="AD15" s="3" t="str">
        <f t="shared" si="2"/>
        <v>WO</v>
      </c>
      <c r="AE15" s="3" t="s">
        <v>44</v>
      </c>
      <c r="AF15" s="3" t="s">
        <v>43</v>
      </c>
      <c r="AG15" s="3" t="s">
        <v>43</v>
      </c>
      <c r="AH15" s="3" t="s">
        <v>43</v>
      </c>
      <c r="AI15" s="3" t="s">
        <v>44</v>
      </c>
      <c r="AJ15" s="3" t="s">
        <v>43</v>
      </c>
      <c r="AK15" s="3" t="str">
        <f t="shared" si="2"/>
        <v>WO</v>
      </c>
      <c r="AL15" s="3" t="s">
        <v>44</v>
      </c>
      <c r="AM15" s="3" t="s">
        <v>43</v>
      </c>
      <c r="AN15" s="3" t="s">
        <v>43</v>
      </c>
      <c r="AO15" s="36"/>
      <c r="AP15" s="42"/>
      <c r="AQ15" s="42"/>
      <c r="AR15" s="3">
        <v>7</v>
      </c>
      <c r="AS15" s="3">
        <v>1007</v>
      </c>
      <c r="AT15" s="3" t="str">
        <f t="shared" si="4"/>
        <v>April</v>
      </c>
      <c r="AU15" s="36" t="s">
        <v>9</v>
      </c>
      <c r="AV15">
        <f t="shared" si="5"/>
        <v>21</v>
      </c>
      <c r="AW15">
        <f t="shared" si="6"/>
        <v>3</v>
      </c>
      <c r="AX15">
        <f t="shared" si="7"/>
        <v>2</v>
      </c>
      <c r="AY15">
        <f t="shared" si="8"/>
        <v>4</v>
      </c>
      <c r="AZ15">
        <f t="shared" si="9"/>
        <v>30</v>
      </c>
      <c r="BA15">
        <f t="shared" si="10"/>
        <v>27</v>
      </c>
      <c r="BB15" s="28">
        <v>28000</v>
      </c>
      <c r="BC15" s="29">
        <f t="shared" si="11"/>
        <v>933.33333333333337</v>
      </c>
      <c r="BD15" s="28">
        <f t="shared" si="12"/>
        <v>2800</v>
      </c>
      <c r="BE15" s="28">
        <f t="shared" si="13"/>
        <v>25200</v>
      </c>
    </row>
    <row r="16" spans="4:59" ht="15.6" x14ac:dyDescent="0.3">
      <c r="D16" s="42"/>
      <c r="E16" s="42"/>
      <c r="F16" s="42"/>
      <c r="G16" s="59">
        <v>8</v>
      </c>
      <c r="H16" s="10">
        <v>1008</v>
      </c>
      <c r="I16" s="11" t="s">
        <v>10</v>
      </c>
      <c r="J16" s="54">
        <f t="shared" si="3"/>
        <v>4</v>
      </c>
      <c r="K16" s="3" t="s">
        <v>43</v>
      </c>
      <c r="L16" s="53" t="s">
        <v>41</v>
      </c>
      <c r="M16" s="3" t="s">
        <v>43</v>
      </c>
      <c r="N16" s="3" t="s">
        <v>44</v>
      </c>
      <c r="O16" s="3" t="s">
        <v>43</v>
      </c>
      <c r="P16" s="3" t="str">
        <f t="shared" si="2"/>
        <v>WO</v>
      </c>
      <c r="Q16" s="3" t="s">
        <v>43</v>
      </c>
      <c r="R16" s="3" t="s">
        <v>43</v>
      </c>
      <c r="S16" s="3" t="s">
        <v>43</v>
      </c>
      <c r="T16" s="3" t="s">
        <v>43</v>
      </c>
      <c r="U16" s="3" t="s">
        <v>43</v>
      </c>
      <c r="V16" s="3" t="s">
        <v>43</v>
      </c>
      <c r="W16" s="3" t="str">
        <f t="shared" si="2"/>
        <v>WO</v>
      </c>
      <c r="X16" s="3" t="s">
        <v>43</v>
      </c>
      <c r="Y16" s="3" t="s">
        <v>43</v>
      </c>
      <c r="Z16" s="3" t="s">
        <v>44</v>
      </c>
      <c r="AA16" s="53" t="s">
        <v>41</v>
      </c>
      <c r="AB16" s="3" t="s">
        <v>43</v>
      </c>
      <c r="AC16" s="3" t="s">
        <v>43</v>
      </c>
      <c r="AD16" s="3" t="str">
        <f t="shared" si="2"/>
        <v>WO</v>
      </c>
      <c r="AE16" s="3" t="s">
        <v>43</v>
      </c>
      <c r="AF16" s="3" t="s">
        <v>43</v>
      </c>
      <c r="AG16" s="3" t="s">
        <v>44</v>
      </c>
      <c r="AH16" s="3" t="s">
        <v>43</v>
      </c>
      <c r="AI16" s="3" t="s">
        <v>43</v>
      </c>
      <c r="AJ16" s="3" t="s">
        <v>43</v>
      </c>
      <c r="AK16" s="3" t="str">
        <f t="shared" si="2"/>
        <v>WO</v>
      </c>
      <c r="AL16" s="3" t="s">
        <v>43</v>
      </c>
      <c r="AM16" s="3" t="s">
        <v>43</v>
      </c>
      <c r="AN16" s="3" t="s">
        <v>43</v>
      </c>
      <c r="AO16" s="36"/>
      <c r="AP16" s="42"/>
      <c r="AQ16" s="42"/>
      <c r="AR16" s="3">
        <v>8</v>
      </c>
      <c r="AS16" s="3">
        <v>1008</v>
      </c>
      <c r="AT16" s="3" t="str">
        <f t="shared" si="4"/>
        <v>April</v>
      </c>
      <c r="AU16" s="36" t="s">
        <v>10</v>
      </c>
      <c r="AV16">
        <f t="shared" si="5"/>
        <v>21</v>
      </c>
      <c r="AW16">
        <f t="shared" si="6"/>
        <v>3</v>
      </c>
      <c r="AX16">
        <f t="shared" si="7"/>
        <v>2</v>
      </c>
      <c r="AY16">
        <f t="shared" si="8"/>
        <v>4</v>
      </c>
      <c r="AZ16">
        <f t="shared" si="9"/>
        <v>30</v>
      </c>
      <c r="BA16">
        <f t="shared" si="10"/>
        <v>27</v>
      </c>
      <c r="BB16" s="28">
        <v>29000</v>
      </c>
      <c r="BC16" s="29">
        <f t="shared" si="11"/>
        <v>966.66666666666663</v>
      </c>
      <c r="BD16" s="28">
        <f t="shared" si="12"/>
        <v>2900</v>
      </c>
      <c r="BE16" s="28">
        <f t="shared" si="13"/>
        <v>26100</v>
      </c>
    </row>
    <row r="17" spans="4:59" ht="15.6" x14ac:dyDescent="0.3">
      <c r="D17" s="42"/>
      <c r="E17" s="42"/>
      <c r="F17" s="42"/>
      <c r="G17" s="59">
        <v>9</v>
      </c>
      <c r="H17" s="10">
        <v>1009</v>
      </c>
      <c r="I17" s="11" t="s">
        <v>11</v>
      </c>
      <c r="J17" s="54">
        <f t="shared" si="3"/>
        <v>4</v>
      </c>
      <c r="K17" s="3" t="s">
        <v>43</v>
      </c>
      <c r="L17" s="53" t="s">
        <v>41</v>
      </c>
      <c r="M17" s="3" t="s">
        <v>43</v>
      </c>
      <c r="N17" s="3" t="s">
        <v>43</v>
      </c>
      <c r="O17" s="3" t="s">
        <v>43</v>
      </c>
      <c r="P17" s="3" t="str">
        <f t="shared" si="2"/>
        <v>WO</v>
      </c>
      <c r="Q17" s="3" t="s">
        <v>43</v>
      </c>
      <c r="R17" s="3" t="s">
        <v>43</v>
      </c>
      <c r="S17" s="3" t="s">
        <v>43</v>
      </c>
      <c r="T17" s="3" t="s">
        <v>43</v>
      </c>
      <c r="U17" s="3" t="s">
        <v>43</v>
      </c>
      <c r="V17" s="3" t="s">
        <v>43</v>
      </c>
      <c r="W17" s="3" t="str">
        <f t="shared" si="2"/>
        <v>WO</v>
      </c>
      <c r="X17" s="3" t="s">
        <v>44</v>
      </c>
      <c r="Y17" s="3" t="s">
        <v>43</v>
      </c>
      <c r="Z17" s="3" t="s">
        <v>43</v>
      </c>
      <c r="AA17" s="53" t="s">
        <v>41</v>
      </c>
      <c r="AB17" s="3" t="s">
        <v>43</v>
      </c>
      <c r="AC17" s="3" t="s">
        <v>44</v>
      </c>
      <c r="AD17" s="3" t="str">
        <f t="shared" ref="AD17:AK28" si="14">IF(AD$7="sun","WO","")</f>
        <v>WO</v>
      </c>
      <c r="AE17" s="3" t="s">
        <v>43</v>
      </c>
      <c r="AF17" s="3" t="s">
        <v>43</v>
      </c>
      <c r="AG17" s="3" t="s">
        <v>43</v>
      </c>
      <c r="AH17" s="3" t="s">
        <v>43</v>
      </c>
      <c r="AI17" s="3" t="s">
        <v>43</v>
      </c>
      <c r="AJ17" s="3" t="s">
        <v>43</v>
      </c>
      <c r="AK17" s="3" t="str">
        <f t="shared" si="14"/>
        <v>WO</v>
      </c>
      <c r="AL17" s="3" t="s">
        <v>43</v>
      </c>
      <c r="AM17" s="3" t="s">
        <v>43</v>
      </c>
      <c r="AN17" s="3" t="s">
        <v>43</v>
      </c>
      <c r="AO17" s="36"/>
      <c r="AP17" s="42"/>
      <c r="AQ17" s="42"/>
      <c r="AR17" s="3">
        <v>9</v>
      </c>
      <c r="AS17" s="3">
        <v>1009</v>
      </c>
      <c r="AT17" s="3" t="str">
        <f t="shared" si="4"/>
        <v>April</v>
      </c>
      <c r="AU17" s="36" t="s">
        <v>11</v>
      </c>
      <c r="AV17">
        <f t="shared" si="5"/>
        <v>22</v>
      </c>
      <c r="AW17">
        <f t="shared" si="6"/>
        <v>2</v>
      </c>
      <c r="AX17">
        <f t="shared" si="7"/>
        <v>2</v>
      </c>
      <c r="AY17">
        <f t="shared" si="8"/>
        <v>4</v>
      </c>
      <c r="AZ17">
        <f t="shared" si="9"/>
        <v>30</v>
      </c>
      <c r="BA17">
        <f t="shared" si="10"/>
        <v>28</v>
      </c>
      <c r="BB17" s="28">
        <v>32000</v>
      </c>
      <c r="BC17" s="29">
        <f t="shared" si="11"/>
        <v>1066.6666666666667</v>
      </c>
      <c r="BD17" s="28">
        <f t="shared" si="12"/>
        <v>2133.3333333333335</v>
      </c>
      <c r="BE17" s="28">
        <f t="shared" si="13"/>
        <v>29866.666666666668</v>
      </c>
    </row>
    <row r="18" spans="4:59" ht="15.6" x14ac:dyDescent="0.3">
      <c r="D18" s="42"/>
      <c r="E18" s="42"/>
      <c r="F18" s="42"/>
      <c r="G18" s="59">
        <v>10</v>
      </c>
      <c r="H18" s="10">
        <v>1010</v>
      </c>
      <c r="I18" s="11" t="s">
        <v>12</v>
      </c>
      <c r="J18" s="54">
        <f t="shared" si="3"/>
        <v>4</v>
      </c>
      <c r="K18" s="3" t="s">
        <v>43</v>
      </c>
      <c r="L18" s="53" t="s">
        <v>41</v>
      </c>
      <c r="M18" s="3" t="s">
        <v>43</v>
      </c>
      <c r="N18" s="3" t="s">
        <v>43</v>
      </c>
      <c r="O18" s="3" t="s">
        <v>43</v>
      </c>
      <c r="P18" s="3" t="str">
        <f t="shared" ref="P18:W28" si="15">IF(P$7="sun","WO","")</f>
        <v>WO</v>
      </c>
      <c r="Q18" s="3" t="s">
        <v>43</v>
      </c>
      <c r="R18" s="3" t="s">
        <v>43</v>
      </c>
      <c r="S18" s="3" t="s">
        <v>44</v>
      </c>
      <c r="T18" s="3" t="s">
        <v>43</v>
      </c>
      <c r="U18" s="3" t="s">
        <v>43</v>
      </c>
      <c r="V18" s="3" t="s">
        <v>43</v>
      </c>
      <c r="W18" s="3" t="str">
        <f t="shared" si="15"/>
        <v>WO</v>
      </c>
      <c r="X18" s="3" t="s">
        <v>43</v>
      </c>
      <c r="Y18" s="3" t="s">
        <v>43</v>
      </c>
      <c r="Z18" s="3" t="s">
        <v>43</v>
      </c>
      <c r="AA18" s="53" t="s">
        <v>41</v>
      </c>
      <c r="AB18" s="3" t="s">
        <v>43</v>
      </c>
      <c r="AC18" s="3" t="s">
        <v>43</v>
      </c>
      <c r="AD18" s="3" t="str">
        <f t="shared" si="14"/>
        <v>WO</v>
      </c>
      <c r="AE18" s="3" t="s">
        <v>43</v>
      </c>
      <c r="AF18" s="3" t="s">
        <v>43</v>
      </c>
      <c r="AG18" s="3" t="s">
        <v>43</v>
      </c>
      <c r="AH18" s="3" t="s">
        <v>43</v>
      </c>
      <c r="AI18" s="3" t="s">
        <v>43</v>
      </c>
      <c r="AJ18" s="3" t="s">
        <v>43</v>
      </c>
      <c r="AK18" s="3" t="str">
        <f t="shared" si="14"/>
        <v>WO</v>
      </c>
      <c r="AL18" s="3" t="s">
        <v>43</v>
      </c>
      <c r="AM18" s="3" t="s">
        <v>43</v>
      </c>
      <c r="AN18" s="3" t="s">
        <v>43</v>
      </c>
      <c r="AO18" s="36"/>
      <c r="AP18" s="42"/>
      <c r="AQ18" s="42"/>
      <c r="AR18" s="3">
        <v>10</v>
      </c>
      <c r="AS18" s="3">
        <v>1010</v>
      </c>
      <c r="AT18" s="3" t="str">
        <f t="shared" si="4"/>
        <v>April</v>
      </c>
      <c r="AU18" s="36" t="s">
        <v>12</v>
      </c>
      <c r="AV18">
        <f t="shared" si="5"/>
        <v>23</v>
      </c>
      <c r="AW18">
        <f t="shared" si="6"/>
        <v>1</v>
      </c>
      <c r="AX18">
        <f t="shared" si="7"/>
        <v>2</v>
      </c>
      <c r="AY18">
        <f t="shared" si="8"/>
        <v>4</v>
      </c>
      <c r="AZ18">
        <f t="shared" si="9"/>
        <v>30</v>
      </c>
      <c r="BA18">
        <f t="shared" si="10"/>
        <v>29</v>
      </c>
      <c r="BB18" s="28">
        <v>35000</v>
      </c>
      <c r="BC18" s="29">
        <f t="shared" si="11"/>
        <v>1166.6666666666667</v>
      </c>
      <c r="BD18" s="28">
        <f t="shared" si="12"/>
        <v>1166.6666666666667</v>
      </c>
      <c r="BE18" s="28">
        <f t="shared" si="13"/>
        <v>33833.333333333336</v>
      </c>
    </row>
    <row r="19" spans="4:59" ht="15.6" x14ac:dyDescent="0.3">
      <c r="D19" s="42"/>
      <c r="E19" s="42"/>
      <c r="F19" s="42"/>
      <c r="G19" s="59">
        <v>11</v>
      </c>
      <c r="H19" s="10">
        <v>1011</v>
      </c>
      <c r="I19" s="11" t="s">
        <v>13</v>
      </c>
      <c r="J19" s="54">
        <f t="shared" si="3"/>
        <v>4</v>
      </c>
      <c r="K19" s="3" t="s">
        <v>43</v>
      </c>
      <c r="L19" s="53" t="s">
        <v>41</v>
      </c>
      <c r="M19" s="3" t="s">
        <v>43</v>
      </c>
      <c r="N19" s="3" t="s">
        <v>43</v>
      </c>
      <c r="O19" s="3" t="s">
        <v>44</v>
      </c>
      <c r="P19" s="3" t="str">
        <f t="shared" si="15"/>
        <v>WO</v>
      </c>
      <c r="Q19" s="3" t="s">
        <v>43</v>
      </c>
      <c r="R19" s="3" t="s">
        <v>43</v>
      </c>
      <c r="S19" s="3" t="s">
        <v>43</v>
      </c>
      <c r="T19" s="3" t="s">
        <v>43</v>
      </c>
      <c r="U19" s="3" t="s">
        <v>43</v>
      </c>
      <c r="V19" s="3" t="s">
        <v>43</v>
      </c>
      <c r="W19" s="3" t="str">
        <f t="shared" si="15"/>
        <v>WO</v>
      </c>
      <c r="X19" s="3" t="s">
        <v>43</v>
      </c>
      <c r="Y19" s="3" t="s">
        <v>43</v>
      </c>
      <c r="Z19" s="3" t="s">
        <v>43</v>
      </c>
      <c r="AA19" s="53" t="s">
        <v>41</v>
      </c>
      <c r="AB19" s="3" t="s">
        <v>43</v>
      </c>
      <c r="AC19" s="3" t="s">
        <v>43</v>
      </c>
      <c r="AD19" s="3" t="str">
        <f t="shared" si="14"/>
        <v>WO</v>
      </c>
      <c r="AE19" s="3" t="s">
        <v>43</v>
      </c>
      <c r="AF19" s="3" t="s">
        <v>43</v>
      </c>
      <c r="AG19" s="3" t="s">
        <v>43</v>
      </c>
      <c r="AH19" s="3" t="s">
        <v>43</v>
      </c>
      <c r="AI19" s="3" t="s">
        <v>44</v>
      </c>
      <c r="AJ19" s="3" t="s">
        <v>43</v>
      </c>
      <c r="AK19" s="3" t="str">
        <f t="shared" si="14"/>
        <v>WO</v>
      </c>
      <c r="AL19" s="3" t="s">
        <v>43</v>
      </c>
      <c r="AM19" s="3" t="s">
        <v>44</v>
      </c>
      <c r="AN19" s="3" t="s">
        <v>43</v>
      </c>
      <c r="AO19" s="36"/>
      <c r="AP19" s="42"/>
      <c r="AQ19" s="42"/>
      <c r="AR19" s="3">
        <v>11</v>
      </c>
      <c r="AS19" s="3">
        <v>1011</v>
      </c>
      <c r="AT19" s="3" t="str">
        <f t="shared" si="4"/>
        <v>April</v>
      </c>
      <c r="AU19" s="36" t="s">
        <v>13</v>
      </c>
      <c r="AV19">
        <f t="shared" si="5"/>
        <v>21</v>
      </c>
      <c r="AW19">
        <f t="shared" si="6"/>
        <v>3</v>
      </c>
      <c r="AX19">
        <f t="shared" si="7"/>
        <v>2</v>
      </c>
      <c r="AY19">
        <f t="shared" si="8"/>
        <v>4</v>
      </c>
      <c r="AZ19">
        <f t="shared" si="9"/>
        <v>30</v>
      </c>
      <c r="BA19">
        <f t="shared" si="10"/>
        <v>27</v>
      </c>
      <c r="BB19" s="28">
        <v>50000</v>
      </c>
      <c r="BC19" s="29">
        <f t="shared" si="11"/>
        <v>1666.6666666666667</v>
      </c>
      <c r="BD19" s="28">
        <f t="shared" si="12"/>
        <v>5000</v>
      </c>
      <c r="BE19" s="28">
        <f t="shared" si="13"/>
        <v>45000</v>
      </c>
    </row>
    <row r="20" spans="4:59" ht="15.6" x14ac:dyDescent="0.3">
      <c r="D20" s="42"/>
      <c r="E20" s="42"/>
      <c r="F20" s="42"/>
      <c r="G20" s="59">
        <v>12</v>
      </c>
      <c r="H20" s="10">
        <v>1012</v>
      </c>
      <c r="I20" s="11" t="s">
        <v>14</v>
      </c>
      <c r="J20" s="54">
        <f t="shared" si="3"/>
        <v>4</v>
      </c>
      <c r="K20" s="3" t="s">
        <v>43</v>
      </c>
      <c r="L20" s="53" t="s">
        <v>41</v>
      </c>
      <c r="M20" s="3" t="s">
        <v>43</v>
      </c>
      <c r="N20" s="3" t="s">
        <v>43</v>
      </c>
      <c r="O20" s="3" t="s">
        <v>43</v>
      </c>
      <c r="P20" s="3" t="str">
        <f t="shared" si="15"/>
        <v>WO</v>
      </c>
      <c r="Q20" s="3" t="s">
        <v>43</v>
      </c>
      <c r="R20" s="3" t="s">
        <v>44</v>
      </c>
      <c r="S20" s="3" t="s">
        <v>43</v>
      </c>
      <c r="T20" s="3" t="s">
        <v>43</v>
      </c>
      <c r="U20" s="3" t="s">
        <v>44</v>
      </c>
      <c r="V20" s="3" t="s">
        <v>43</v>
      </c>
      <c r="W20" s="3" t="str">
        <f t="shared" si="15"/>
        <v>WO</v>
      </c>
      <c r="X20" s="3" t="s">
        <v>43</v>
      </c>
      <c r="Y20" s="3" t="s">
        <v>43</v>
      </c>
      <c r="Z20" s="3" t="s">
        <v>43</v>
      </c>
      <c r="AA20" s="53" t="s">
        <v>41</v>
      </c>
      <c r="AB20" s="3" t="s">
        <v>43</v>
      </c>
      <c r="AC20" s="3" t="s">
        <v>43</v>
      </c>
      <c r="AD20" s="3" t="str">
        <f t="shared" si="14"/>
        <v>WO</v>
      </c>
      <c r="AE20" s="3" t="s">
        <v>43</v>
      </c>
      <c r="AF20" s="3" t="s">
        <v>43</v>
      </c>
      <c r="AG20" s="3" t="s">
        <v>43</v>
      </c>
      <c r="AH20" s="3" t="s">
        <v>43</v>
      </c>
      <c r="AI20" s="3" t="s">
        <v>43</v>
      </c>
      <c r="AJ20" s="3" t="s">
        <v>43</v>
      </c>
      <c r="AK20" s="3" t="str">
        <f t="shared" si="14"/>
        <v>WO</v>
      </c>
      <c r="AL20" s="3" t="s">
        <v>43</v>
      </c>
      <c r="AM20" s="3" t="s">
        <v>43</v>
      </c>
      <c r="AN20" s="3" t="s">
        <v>43</v>
      </c>
      <c r="AO20" s="36"/>
      <c r="AP20" s="42"/>
      <c r="AQ20" s="42"/>
      <c r="AR20" s="3">
        <v>12</v>
      </c>
      <c r="AS20" s="3">
        <v>1012</v>
      </c>
      <c r="AT20" s="3" t="str">
        <f t="shared" si="4"/>
        <v>April</v>
      </c>
      <c r="AU20" s="36" t="s">
        <v>14</v>
      </c>
      <c r="AV20">
        <f t="shared" si="5"/>
        <v>22</v>
      </c>
      <c r="AW20">
        <f t="shared" si="6"/>
        <v>2</v>
      </c>
      <c r="AX20">
        <f t="shared" si="7"/>
        <v>2</v>
      </c>
      <c r="AY20">
        <f t="shared" si="8"/>
        <v>4</v>
      </c>
      <c r="AZ20">
        <f t="shared" si="9"/>
        <v>30</v>
      </c>
      <c r="BA20">
        <f t="shared" si="10"/>
        <v>28</v>
      </c>
      <c r="BB20" s="28">
        <v>29000</v>
      </c>
      <c r="BC20" s="29">
        <f t="shared" si="11"/>
        <v>966.66666666666663</v>
      </c>
      <c r="BD20" s="28">
        <f t="shared" si="12"/>
        <v>1933.3333333333333</v>
      </c>
      <c r="BE20" s="28">
        <f t="shared" si="13"/>
        <v>27066.666666666668</v>
      </c>
    </row>
    <row r="21" spans="4:59" ht="15.6" x14ac:dyDescent="0.3">
      <c r="D21" s="42"/>
      <c r="E21" s="42"/>
      <c r="F21" s="42"/>
      <c r="G21" s="59">
        <v>13</v>
      </c>
      <c r="H21" s="10">
        <v>1013</v>
      </c>
      <c r="I21" s="11" t="s">
        <v>15</v>
      </c>
      <c r="J21" s="54">
        <f t="shared" si="3"/>
        <v>4</v>
      </c>
      <c r="K21" s="3" t="s">
        <v>43</v>
      </c>
      <c r="L21" s="53" t="s">
        <v>41</v>
      </c>
      <c r="M21" s="3" t="s">
        <v>44</v>
      </c>
      <c r="N21" s="3" t="s">
        <v>43</v>
      </c>
      <c r="O21" s="3" t="s">
        <v>43</v>
      </c>
      <c r="P21" s="3" t="str">
        <f t="shared" si="15"/>
        <v>WO</v>
      </c>
      <c r="Q21" s="3" t="s">
        <v>43</v>
      </c>
      <c r="R21" s="3" t="s">
        <v>43</v>
      </c>
      <c r="S21" s="3" t="s">
        <v>43</v>
      </c>
      <c r="T21" s="3" t="s">
        <v>43</v>
      </c>
      <c r="U21" s="3" t="s">
        <v>43</v>
      </c>
      <c r="V21" s="3" t="s">
        <v>43</v>
      </c>
      <c r="W21" s="3" t="str">
        <f t="shared" si="15"/>
        <v>WO</v>
      </c>
      <c r="X21" s="3" t="s">
        <v>43</v>
      </c>
      <c r="Y21" s="3" t="s">
        <v>43</v>
      </c>
      <c r="Z21" s="3" t="s">
        <v>43</v>
      </c>
      <c r="AA21" s="53" t="s">
        <v>41</v>
      </c>
      <c r="AB21" s="3" t="s">
        <v>43</v>
      </c>
      <c r="AC21" s="3" t="s">
        <v>43</v>
      </c>
      <c r="AD21" s="3" t="str">
        <f t="shared" si="14"/>
        <v>WO</v>
      </c>
      <c r="AE21" s="3" t="s">
        <v>43</v>
      </c>
      <c r="AF21" s="3" t="s">
        <v>43</v>
      </c>
      <c r="AG21" s="3" t="s">
        <v>43</v>
      </c>
      <c r="AH21" s="3" t="s">
        <v>43</v>
      </c>
      <c r="AI21" s="3" t="s">
        <v>43</v>
      </c>
      <c r="AJ21" s="3" t="s">
        <v>43</v>
      </c>
      <c r="AK21" s="3" t="str">
        <f t="shared" si="14"/>
        <v>WO</v>
      </c>
      <c r="AL21" s="3" t="s">
        <v>43</v>
      </c>
      <c r="AM21" s="3" t="s">
        <v>44</v>
      </c>
      <c r="AN21" s="3" t="s">
        <v>43</v>
      </c>
      <c r="AO21" s="36"/>
      <c r="AP21" s="42"/>
      <c r="AQ21" s="42"/>
      <c r="AR21" s="3">
        <v>13</v>
      </c>
      <c r="AS21" s="3">
        <v>1013</v>
      </c>
      <c r="AT21" s="3" t="str">
        <f t="shared" si="4"/>
        <v>April</v>
      </c>
      <c r="AU21" s="36" t="s">
        <v>15</v>
      </c>
      <c r="AV21">
        <f t="shared" si="5"/>
        <v>22</v>
      </c>
      <c r="AW21">
        <f t="shared" si="6"/>
        <v>2</v>
      </c>
      <c r="AX21">
        <f t="shared" si="7"/>
        <v>2</v>
      </c>
      <c r="AY21">
        <f t="shared" si="8"/>
        <v>4</v>
      </c>
      <c r="AZ21">
        <f t="shared" si="9"/>
        <v>30</v>
      </c>
      <c r="BA21">
        <f t="shared" si="10"/>
        <v>28</v>
      </c>
      <c r="BB21" s="28">
        <v>37000</v>
      </c>
      <c r="BC21" s="29">
        <f t="shared" si="11"/>
        <v>1233.3333333333333</v>
      </c>
      <c r="BD21" s="28">
        <f t="shared" si="12"/>
        <v>2466.6666666666665</v>
      </c>
      <c r="BE21" s="28">
        <f t="shared" si="13"/>
        <v>34533.333333333336</v>
      </c>
    </row>
    <row r="22" spans="4:59" ht="15.6" x14ac:dyDescent="0.3">
      <c r="D22" s="42"/>
      <c r="E22" s="42"/>
      <c r="F22" s="42"/>
      <c r="G22" s="59">
        <v>14</v>
      </c>
      <c r="H22" s="10">
        <v>1014</v>
      </c>
      <c r="I22" s="11" t="s">
        <v>16</v>
      </c>
      <c r="J22" s="54">
        <f t="shared" si="3"/>
        <v>4</v>
      </c>
      <c r="K22" s="3" t="s">
        <v>43</v>
      </c>
      <c r="L22" s="53" t="s">
        <v>41</v>
      </c>
      <c r="M22" s="3" t="s">
        <v>43</v>
      </c>
      <c r="N22" s="3" t="s">
        <v>43</v>
      </c>
      <c r="O22" s="3" t="s">
        <v>43</v>
      </c>
      <c r="P22" s="3" t="str">
        <f t="shared" si="15"/>
        <v>WO</v>
      </c>
      <c r="Q22" s="3" t="s">
        <v>43</v>
      </c>
      <c r="R22" s="3" t="s">
        <v>43</v>
      </c>
      <c r="S22" s="3" t="s">
        <v>43</v>
      </c>
      <c r="T22" s="3" t="s">
        <v>43</v>
      </c>
      <c r="U22" s="3" t="s">
        <v>43</v>
      </c>
      <c r="V22" s="3" t="s">
        <v>43</v>
      </c>
      <c r="W22" s="3" t="str">
        <f t="shared" si="15"/>
        <v>WO</v>
      </c>
      <c r="X22" s="3" t="s">
        <v>43</v>
      </c>
      <c r="Y22" s="3" t="s">
        <v>44</v>
      </c>
      <c r="Z22" s="3" t="s">
        <v>43</v>
      </c>
      <c r="AA22" s="53" t="s">
        <v>41</v>
      </c>
      <c r="AB22" s="3" t="s">
        <v>43</v>
      </c>
      <c r="AC22" s="3" t="s">
        <v>43</v>
      </c>
      <c r="AD22" s="3" t="str">
        <f t="shared" si="14"/>
        <v>WO</v>
      </c>
      <c r="AE22" s="3" t="s">
        <v>43</v>
      </c>
      <c r="AF22" s="3" t="s">
        <v>44</v>
      </c>
      <c r="AG22" s="3" t="s">
        <v>43</v>
      </c>
      <c r="AH22" s="3" t="s">
        <v>43</v>
      </c>
      <c r="AI22" s="3" t="s">
        <v>43</v>
      </c>
      <c r="AJ22" s="3" t="s">
        <v>43</v>
      </c>
      <c r="AK22" s="3" t="str">
        <f t="shared" si="14"/>
        <v>WO</v>
      </c>
      <c r="AL22" s="3" t="s">
        <v>43</v>
      </c>
      <c r="AM22" s="3" t="s">
        <v>43</v>
      </c>
      <c r="AN22" s="3" t="s">
        <v>43</v>
      </c>
      <c r="AO22" s="36"/>
      <c r="AP22" s="42"/>
      <c r="AQ22" s="42"/>
      <c r="AR22" s="3">
        <v>14</v>
      </c>
      <c r="AS22" s="3">
        <v>1014</v>
      </c>
      <c r="AT22" s="3" t="str">
        <f t="shared" si="4"/>
        <v>April</v>
      </c>
      <c r="AU22" s="36" t="s">
        <v>16</v>
      </c>
      <c r="AV22">
        <f t="shared" si="5"/>
        <v>22</v>
      </c>
      <c r="AW22">
        <f t="shared" si="6"/>
        <v>2</v>
      </c>
      <c r="AX22">
        <f t="shared" si="7"/>
        <v>2</v>
      </c>
      <c r="AY22">
        <f t="shared" si="8"/>
        <v>4</v>
      </c>
      <c r="AZ22">
        <f t="shared" si="9"/>
        <v>30</v>
      </c>
      <c r="BA22">
        <f t="shared" si="10"/>
        <v>28</v>
      </c>
      <c r="BB22" s="28">
        <v>41000</v>
      </c>
      <c r="BC22" s="29">
        <f t="shared" si="11"/>
        <v>1366.6666666666667</v>
      </c>
      <c r="BD22" s="28">
        <f t="shared" si="12"/>
        <v>2733.3333333333335</v>
      </c>
      <c r="BE22" s="28">
        <f t="shared" si="13"/>
        <v>38266.666666666664</v>
      </c>
    </row>
    <row r="23" spans="4:59" ht="15.6" x14ac:dyDescent="0.3">
      <c r="D23" s="42"/>
      <c r="E23" s="42"/>
      <c r="F23" s="42"/>
      <c r="G23" s="59">
        <v>15</v>
      </c>
      <c r="H23" s="10">
        <v>1015</v>
      </c>
      <c r="I23" s="11" t="s">
        <v>17</v>
      </c>
      <c r="J23" s="54">
        <f t="shared" si="3"/>
        <v>4</v>
      </c>
      <c r="K23" s="3" t="s">
        <v>43</v>
      </c>
      <c r="L23" s="53" t="s">
        <v>41</v>
      </c>
      <c r="M23" s="3" t="s">
        <v>43</v>
      </c>
      <c r="N23" s="3" t="s">
        <v>43</v>
      </c>
      <c r="O23" s="3" t="s">
        <v>43</v>
      </c>
      <c r="P23" s="3" t="str">
        <f t="shared" si="15"/>
        <v>WO</v>
      </c>
      <c r="Q23" s="3" t="s">
        <v>43</v>
      </c>
      <c r="R23" s="3" t="s">
        <v>43</v>
      </c>
      <c r="S23" s="3" t="s">
        <v>43</v>
      </c>
      <c r="T23" s="3" t="s">
        <v>43</v>
      </c>
      <c r="U23" s="3" t="s">
        <v>43</v>
      </c>
      <c r="V23" s="3" t="s">
        <v>43</v>
      </c>
      <c r="W23" s="3" t="str">
        <f t="shared" si="15"/>
        <v>WO</v>
      </c>
      <c r="X23" s="3" t="s">
        <v>43</v>
      </c>
      <c r="Y23" s="3" t="s">
        <v>43</v>
      </c>
      <c r="Z23" s="3" t="s">
        <v>43</v>
      </c>
      <c r="AA23" s="53" t="s">
        <v>41</v>
      </c>
      <c r="AB23" s="3" t="s">
        <v>44</v>
      </c>
      <c r="AC23" s="3" t="s">
        <v>43</v>
      </c>
      <c r="AD23" s="3" t="str">
        <f t="shared" si="14"/>
        <v>WO</v>
      </c>
      <c r="AE23" s="3" t="s">
        <v>43</v>
      </c>
      <c r="AF23" s="3" t="s">
        <v>43</v>
      </c>
      <c r="AG23" s="3" t="s">
        <v>43</v>
      </c>
      <c r="AH23" s="3" t="s">
        <v>43</v>
      </c>
      <c r="AI23" s="3" t="s">
        <v>43</v>
      </c>
      <c r="AJ23" s="3" t="s">
        <v>43</v>
      </c>
      <c r="AK23" s="3" t="str">
        <f t="shared" si="14"/>
        <v>WO</v>
      </c>
      <c r="AL23" s="3" t="s">
        <v>43</v>
      </c>
      <c r="AM23" s="3" t="s">
        <v>43</v>
      </c>
      <c r="AN23" s="3" t="s">
        <v>43</v>
      </c>
      <c r="AO23" s="36"/>
      <c r="AP23" s="42"/>
      <c r="AQ23" s="42"/>
      <c r="AR23" s="3">
        <v>15</v>
      </c>
      <c r="AS23" s="3">
        <v>1015</v>
      </c>
      <c r="AT23" s="3" t="str">
        <f t="shared" si="4"/>
        <v>April</v>
      </c>
      <c r="AU23" s="36" t="s">
        <v>17</v>
      </c>
      <c r="AV23">
        <f t="shared" si="5"/>
        <v>23</v>
      </c>
      <c r="AW23">
        <f t="shared" si="6"/>
        <v>1</v>
      </c>
      <c r="AX23">
        <f t="shared" si="7"/>
        <v>2</v>
      </c>
      <c r="AY23">
        <f t="shared" si="8"/>
        <v>4</v>
      </c>
      <c r="AZ23">
        <f t="shared" si="9"/>
        <v>30</v>
      </c>
      <c r="BA23">
        <f t="shared" si="10"/>
        <v>29</v>
      </c>
      <c r="BB23" s="28">
        <v>45000</v>
      </c>
      <c r="BC23" s="29">
        <f t="shared" si="11"/>
        <v>1500</v>
      </c>
      <c r="BD23" s="28">
        <f t="shared" si="12"/>
        <v>1500</v>
      </c>
      <c r="BE23" s="28">
        <f t="shared" si="13"/>
        <v>43500</v>
      </c>
    </row>
    <row r="24" spans="4:59" ht="15.6" x14ac:dyDescent="0.3">
      <c r="D24" s="42"/>
      <c r="E24" s="42"/>
      <c r="F24" s="42"/>
      <c r="G24" s="59">
        <v>16</v>
      </c>
      <c r="H24" s="10">
        <v>1016</v>
      </c>
      <c r="I24" s="11" t="s">
        <v>18</v>
      </c>
      <c r="J24" s="54">
        <f t="shared" si="3"/>
        <v>4</v>
      </c>
      <c r="K24" s="3" t="s">
        <v>43</v>
      </c>
      <c r="L24" s="53" t="s">
        <v>41</v>
      </c>
      <c r="M24" s="3" t="s">
        <v>44</v>
      </c>
      <c r="N24" s="3" t="s">
        <v>43</v>
      </c>
      <c r="O24" s="3" t="s">
        <v>43</v>
      </c>
      <c r="P24" s="3" t="str">
        <f t="shared" si="15"/>
        <v>WO</v>
      </c>
      <c r="Q24" s="3" t="s">
        <v>44</v>
      </c>
      <c r="R24" s="3" t="s">
        <v>43</v>
      </c>
      <c r="S24" s="3" t="s">
        <v>43</v>
      </c>
      <c r="T24" s="3" t="s">
        <v>44</v>
      </c>
      <c r="U24" s="3" t="s">
        <v>43</v>
      </c>
      <c r="V24" s="3" t="s">
        <v>43</v>
      </c>
      <c r="W24" s="3" t="str">
        <f t="shared" si="15"/>
        <v>WO</v>
      </c>
      <c r="X24" s="3" t="s">
        <v>43</v>
      </c>
      <c r="Y24" s="3" t="s">
        <v>43</v>
      </c>
      <c r="Z24" s="3" t="s">
        <v>43</v>
      </c>
      <c r="AA24" s="53" t="s">
        <v>41</v>
      </c>
      <c r="AB24" s="3" t="s">
        <v>43</v>
      </c>
      <c r="AC24" s="3" t="s">
        <v>43</v>
      </c>
      <c r="AD24" s="3" t="str">
        <f t="shared" si="14"/>
        <v>WO</v>
      </c>
      <c r="AE24" s="3" t="s">
        <v>43</v>
      </c>
      <c r="AF24" s="3" t="s">
        <v>43</v>
      </c>
      <c r="AG24" s="3" t="s">
        <v>43</v>
      </c>
      <c r="AH24" s="3" t="s">
        <v>44</v>
      </c>
      <c r="AI24" s="3" t="s">
        <v>43</v>
      </c>
      <c r="AJ24" s="3" t="s">
        <v>43</v>
      </c>
      <c r="AK24" s="3" t="str">
        <f t="shared" si="14"/>
        <v>WO</v>
      </c>
      <c r="AL24" s="3" t="s">
        <v>44</v>
      </c>
      <c r="AM24" s="3" t="s">
        <v>43</v>
      </c>
      <c r="AN24" s="3" t="s">
        <v>43</v>
      </c>
      <c r="AO24" s="36"/>
      <c r="AP24" s="42"/>
      <c r="AQ24" s="42"/>
      <c r="AR24" s="3">
        <v>16</v>
      </c>
      <c r="AS24" s="3">
        <v>1016</v>
      </c>
      <c r="AT24" s="3" t="str">
        <f t="shared" si="4"/>
        <v>April</v>
      </c>
      <c r="AU24" s="36" t="s">
        <v>18</v>
      </c>
      <c r="AV24">
        <f t="shared" si="5"/>
        <v>19</v>
      </c>
      <c r="AW24">
        <f t="shared" si="6"/>
        <v>5</v>
      </c>
      <c r="AX24">
        <f t="shared" si="7"/>
        <v>2</v>
      </c>
      <c r="AY24">
        <f t="shared" si="8"/>
        <v>4</v>
      </c>
      <c r="AZ24">
        <f t="shared" si="9"/>
        <v>30</v>
      </c>
      <c r="BA24">
        <f t="shared" si="10"/>
        <v>25</v>
      </c>
      <c r="BB24" s="28">
        <v>21000</v>
      </c>
      <c r="BC24" s="29">
        <f t="shared" si="11"/>
        <v>700</v>
      </c>
      <c r="BD24" s="28">
        <f t="shared" si="12"/>
        <v>3500</v>
      </c>
      <c r="BE24" s="28">
        <f t="shared" si="13"/>
        <v>17500</v>
      </c>
    </row>
    <row r="25" spans="4:59" ht="15.6" x14ac:dyDescent="0.3">
      <c r="D25" s="42"/>
      <c r="E25" s="42"/>
      <c r="F25" s="42"/>
      <c r="G25" s="59">
        <v>17</v>
      </c>
      <c r="H25" s="10">
        <v>1017</v>
      </c>
      <c r="I25" s="11" t="s">
        <v>19</v>
      </c>
      <c r="J25" s="54">
        <f t="shared" si="3"/>
        <v>4</v>
      </c>
      <c r="K25" s="3" t="s">
        <v>43</v>
      </c>
      <c r="L25" s="53" t="s">
        <v>41</v>
      </c>
      <c r="M25" s="3" t="s">
        <v>43</v>
      </c>
      <c r="N25" s="3" t="s">
        <v>43</v>
      </c>
      <c r="O25" s="3" t="s">
        <v>43</v>
      </c>
      <c r="P25" s="3" t="str">
        <f t="shared" si="15"/>
        <v>WO</v>
      </c>
      <c r="Q25" s="3" t="s">
        <v>43</v>
      </c>
      <c r="R25" s="3" t="s">
        <v>43</v>
      </c>
      <c r="S25" s="3" t="s">
        <v>43</v>
      </c>
      <c r="T25" s="3" t="s">
        <v>43</v>
      </c>
      <c r="U25" s="3" t="s">
        <v>43</v>
      </c>
      <c r="V25" s="3" t="s">
        <v>43</v>
      </c>
      <c r="W25" s="3" t="str">
        <f t="shared" si="15"/>
        <v>WO</v>
      </c>
      <c r="X25" s="3" t="s">
        <v>43</v>
      </c>
      <c r="Y25" s="3" t="s">
        <v>43</v>
      </c>
      <c r="Z25" s="3" t="s">
        <v>43</v>
      </c>
      <c r="AA25" s="53" t="s">
        <v>41</v>
      </c>
      <c r="AB25" s="3" t="s">
        <v>43</v>
      </c>
      <c r="AC25" s="3" t="s">
        <v>43</v>
      </c>
      <c r="AD25" s="3" t="str">
        <f t="shared" si="14"/>
        <v>WO</v>
      </c>
      <c r="AE25" s="3" t="s">
        <v>43</v>
      </c>
      <c r="AF25" s="3" t="s">
        <v>43</v>
      </c>
      <c r="AG25" s="3" t="s">
        <v>43</v>
      </c>
      <c r="AH25" s="3" t="s">
        <v>43</v>
      </c>
      <c r="AI25" s="3" t="s">
        <v>43</v>
      </c>
      <c r="AJ25" s="3" t="s">
        <v>43</v>
      </c>
      <c r="AK25" s="3" t="str">
        <f t="shared" si="14"/>
        <v>WO</v>
      </c>
      <c r="AL25" s="3" t="s">
        <v>43</v>
      </c>
      <c r="AM25" s="3" t="s">
        <v>43</v>
      </c>
      <c r="AN25" s="3" t="s">
        <v>43</v>
      </c>
      <c r="AO25" s="36"/>
      <c r="AP25" s="42"/>
      <c r="AQ25" s="42"/>
      <c r="AR25" s="3">
        <v>17</v>
      </c>
      <c r="AS25" s="3">
        <v>1017</v>
      </c>
      <c r="AT25" s="3" t="str">
        <f t="shared" si="4"/>
        <v>April</v>
      </c>
      <c r="AU25" s="36" t="s">
        <v>19</v>
      </c>
      <c r="AV25">
        <f t="shared" si="5"/>
        <v>24</v>
      </c>
      <c r="AW25">
        <f t="shared" si="6"/>
        <v>0</v>
      </c>
      <c r="AX25">
        <f t="shared" si="7"/>
        <v>2</v>
      </c>
      <c r="AY25">
        <f t="shared" si="8"/>
        <v>4</v>
      </c>
      <c r="AZ25">
        <f t="shared" si="9"/>
        <v>30</v>
      </c>
      <c r="BA25">
        <f t="shared" si="10"/>
        <v>30</v>
      </c>
      <c r="BB25" s="28">
        <v>26000</v>
      </c>
      <c r="BC25" s="29">
        <f t="shared" si="11"/>
        <v>866.66666666666663</v>
      </c>
      <c r="BD25" s="28">
        <f t="shared" si="12"/>
        <v>0</v>
      </c>
      <c r="BE25" s="28">
        <f t="shared" si="13"/>
        <v>26000</v>
      </c>
    </row>
    <row r="26" spans="4:59" ht="15.6" x14ac:dyDescent="0.3">
      <c r="D26" s="42"/>
      <c r="E26" s="42"/>
      <c r="F26" s="42"/>
      <c r="G26" s="59">
        <v>18</v>
      </c>
      <c r="H26" s="10">
        <v>1018</v>
      </c>
      <c r="I26" s="11" t="s">
        <v>20</v>
      </c>
      <c r="J26" s="54">
        <f t="shared" si="3"/>
        <v>4</v>
      </c>
      <c r="K26" s="3" t="s">
        <v>43</v>
      </c>
      <c r="L26" s="53" t="s">
        <v>41</v>
      </c>
      <c r="M26" s="3" t="s">
        <v>43</v>
      </c>
      <c r="N26" s="3" t="s">
        <v>43</v>
      </c>
      <c r="O26" s="3" t="s">
        <v>44</v>
      </c>
      <c r="P26" s="3" t="str">
        <f t="shared" si="15"/>
        <v>WO</v>
      </c>
      <c r="Q26" s="3" t="s">
        <v>43</v>
      </c>
      <c r="R26" s="3" t="s">
        <v>43</v>
      </c>
      <c r="S26" s="3" t="s">
        <v>43</v>
      </c>
      <c r="T26" s="3" t="s">
        <v>43</v>
      </c>
      <c r="U26" s="3" t="s">
        <v>43</v>
      </c>
      <c r="V26" s="3" t="s">
        <v>43</v>
      </c>
      <c r="W26" s="3" t="str">
        <f t="shared" si="15"/>
        <v>WO</v>
      </c>
      <c r="X26" s="3" t="s">
        <v>43</v>
      </c>
      <c r="Y26" s="3" t="s">
        <v>43</v>
      </c>
      <c r="Z26" s="3" t="s">
        <v>43</v>
      </c>
      <c r="AA26" s="53" t="s">
        <v>41</v>
      </c>
      <c r="AB26" s="3" t="s">
        <v>43</v>
      </c>
      <c r="AC26" s="3" t="s">
        <v>43</v>
      </c>
      <c r="AD26" s="3" t="str">
        <f t="shared" si="14"/>
        <v>WO</v>
      </c>
      <c r="AE26" s="3" t="s">
        <v>43</v>
      </c>
      <c r="AF26" s="3" t="s">
        <v>43</v>
      </c>
      <c r="AG26" s="3" t="s">
        <v>43</v>
      </c>
      <c r="AH26" s="3" t="s">
        <v>43</v>
      </c>
      <c r="AI26" s="3" t="s">
        <v>43</v>
      </c>
      <c r="AJ26" s="3" t="s">
        <v>43</v>
      </c>
      <c r="AK26" s="3" t="str">
        <f t="shared" si="14"/>
        <v>WO</v>
      </c>
      <c r="AL26" s="3" t="s">
        <v>43</v>
      </c>
      <c r="AM26" s="3" t="s">
        <v>43</v>
      </c>
      <c r="AN26" s="3" t="s">
        <v>43</v>
      </c>
      <c r="AO26" s="36"/>
      <c r="AP26" s="42"/>
      <c r="AQ26" s="42"/>
      <c r="AR26" s="3">
        <v>18</v>
      </c>
      <c r="AS26" s="3">
        <v>1018</v>
      </c>
      <c r="AT26" s="3" t="str">
        <f t="shared" si="4"/>
        <v>April</v>
      </c>
      <c r="AU26" s="36" t="s">
        <v>20</v>
      </c>
      <c r="AV26">
        <f t="shared" si="5"/>
        <v>23</v>
      </c>
      <c r="AW26">
        <f t="shared" si="6"/>
        <v>1</v>
      </c>
      <c r="AX26">
        <f t="shared" si="7"/>
        <v>2</v>
      </c>
      <c r="AY26">
        <f t="shared" si="8"/>
        <v>4</v>
      </c>
      <c r="AZ26">
        <f t="shared" si="9"/>
        <v>30</v>
      </c>
      <c r="BA26">
        <f t="shared" si="10"/>
        <v>29</v>
      </c>
      <c r="BB26" s="28">
        <v>35000</v>
      </c>
      <c r="BC26" s="29">
        <f t="shared" si="11"/>
        <v>1166.6666666666667</v>
      </c>
      <c r="BD26" s="28">
        <f t="shared" si="12"/>
        <v>1166.6666666666667</v>
      </c>
      <c r="BE26" s="28">
        <f t="shared" si="13"/>
        <v>33833.333333333336</v>
      </c>
    </row>
    <row r="27" spans="4:59" ht="15.6" x14ac:dyDescent="0.3">
      <c r="D27" s="42"/>
      <c r="E27" s="42"/>
      <c r="F27" s="42"/>
      <c r="G27" s="59">
        <v>19</v>
      </c>
      <c r="H27" s="10">
        <v>1019</v>
      </c>
      <c r="I27" s="11" t="s">
        <v>21</v>
      </c>
      <c r="J27" s="54">
        <f t="shared" si="3"/>
        <v>4</v>
      </c>
      <c r="K27" s="3" t="s">
        <v>43</v>
      </c>
      <c r="L27" s="53" t="s">
        <v>41</v>
      </c>
      <c r="M27" s="3" t="s">
        <v>43</v>
      </c>
      <c r="N27" s="3" t="s">
        <v>43</v>
      </c>
      <c r="O27" s="3" t="s">
        <v>43</v>
      </c>
      <c r="P27" s="3" t="str">
        <f t="shared" si="15"/>
        <v>WO</v>
      </c>
      <c r="Q27" s="3" t="s">
        <v>44</v>
      </c>
      <c r="R27" s="3" t="s">
        <v>43</v>
      </c>
      <c r="S27" s="3" t="s">
        <v>43</v>
      </c>
      <c r="T27" s="3" t="s">
        <v>43</v>
      </c>
      <c r="U27" s="3" t="s">
        <v>43</v>
      </c>
      <c r="V27" s="3" t="s">
        <v>43</v>
      </c>
      <c r="W27" s="3" t="str">
        <f t="shared" si="15"/>
        <v>WO</v>
      </c>
      <c r="X27" s="3" t="s">
        <v>43</v>
      </c>
      <c r="Y27" s="3" t="s">
        <v>43</v>
      </c>
      <c r="Z27" s="3" t="s">
        <v>43</v>
      </c>
      <c r="AA27" s="53" t="s">
        <v>41</v>
      </c>
      <c r="AB27" s="3" t="s">
        <v>43</v>
      </c>
      <c r="AC27" s="3" t="s">
        <v>43</v>
      </c>
      <c r="AD27" s="3" t="str">
        <f t="shared" si="14"/>
        <v>WO</v>
      </c>
      <c r="AE27" s="3" t="s">
        <v>43</v>
      </c>
      <c r="AF27" s="3" t="s">
        <v>43</v>
      </c>
      <c r="AG27" s="3" t="s">
        <v>43</v>
      </c>
      <c r="AH27" s="3" t="s">
        <v>43</v>
      </c>
      <c r="AI27" s="3" t="s">
        <v>43</v>
      </c>
      <c r="AJ27" s="3" t="s">
        <v>43</v>
      </c>
      <c r="AK27" s="3" t="str">
        <f t="shared" si="14"/>
        <v>WO</v>
      </c>
      <c r="AL27" s="3" t="s">
        <v>43</v>
      </c>
      <c r="AM27" s="3" t="s">
        <v>43</v>
      </c>
      <c r="AN27" s="3" t="s">
        <v>43</v>
      </c>
      <c r="AO27" s="36"/>
      <c r="AP27" s="42"/>
      <c r="AQ27" s="42"/>
      <c r="AR27" s="3">
        <v>19</v>
      </c>
      <c r="AS27" s="3">
        <v>1019</v>
      </c>
      <c r="AT27" s="3" t="str">
        <f t="shared" si="4"/>
        <v>April</v>
      </c>
      <c r="AU27" s="36" t="s">
        <v>21</v>
      </c>
      <c r="AV27">
        <f t="shared" si="5"/>
        <v>23</v>
      </c>
      <c r="AW27">
        <f t="shared" si="6"/>
        <v>1</v>
      </c>
      <c r="AX27">
        <f t="shared" si="7"/>
        <v>2</v>
      </c>
      <c r="AY27">
        <f t="shared" si="8"/>
        <v>4</v>
      </c>
      <c r="AZ27">
        <f t="shared" si="9"/>
        <v>30</v>
      </c>
      <c r="BA27">
        <f t="shared" si="10"/>
        <v>29</v>
      </c>
      <c r="BB27" s="28">
        <v>55000</v>
      </c>
      <c r="BC27" s="29">
        <f t="shared" si="11"/>
        <v>1833.3333333333333</v>
      </c>
      <c r="BD27" s="28">
        <f t="shared" si="12"/>
        <v>1833.3333333333333</v>
      </c>
      <c r="BE27" s="28">
        <f t="shared" si="13"/>
        <v>53166.666666666664</v>
      </c>
    </row>
    <row r="28" spans="4:59" ht="16.2" thickBot="1" x14ac:dyDescent="0.35">
      <c r="D28" s="42"/>
      <c r="E28" s="42"/>
      <c r="F28" s="42"/>
      <c r="G28" s="61">
        <v>20</v>
      </c>
      <c r="H28" s="62">
        <v>1020</v>
      </c>
      <c r="I28" s="63" t="s">
        <v>22</v>
      </c>
      <c r="J28" s="74">
        <f t="shared" si="3"/>
        <v>4</v>
      </c>
      <c r="K28" s="37" t="s">
        <v>43</v>
      </c>
      <c r="L28" s="75" t="s">
        <v>41</v>
      </c>
      <c r="M28" s="37" t="s">
        <v>44</v>
      </c>
      <c r="N28" s="37" t="s">
        <v>43</v>
      </c>
      <c r="O28" s="37" t="s">
        <v>43</v>
      </c>
      <c r="P28" s="37" t="str">
        <f t="shared" si="15"/>
        <v>WO</v>
      </c>
      <c r="Q28" s="37" t="s">
        <v>43</v>
      </c>
      <c r="R28" s="37" t="s">
        <v>43</v>
      </c>
      <c r="S28" s="37" t="s">
        <v>43</v>
      </c>
      <c r="T28" s="37" t="s">
        <v>44</v>
      </c>
      <c r="U28" s="37" t="s">
        <v>43</v>
      </c>
      <c r="V28" s="37" t="s">
        <v>44</v>
      </c>
      <c r="W28" s="37" t="str">
        <f t="shared" si="15"/>
        <v>WO</v>
      </c>
      <c r="X28" s="37" t="s">
        <v>44</v>
      </c>
      <c r="Y28" s="37" t="s">
        <v>43</v>
      </c>
      <c r="Z28" s="37" t="s">
        <v>43</v>
      </c>
      <c r="AA28" s="75" t="s">
        <v>41</v>
      </c>
      <c r="AB28" s="37" t="s">
        <v>43</v>
      </c>
      <c r="AC28" s="37" t="s">
        <v>43</v>
      </c>
      <c r="AD28" s="37" t="str">
        <f t="shared" si="14"/>
        <v>WO</v>
      </c>
      <c r="AE28" s="37" t="s">
        <v>43</v>
      </c>
      <c r="AF28" s="37" t="s">
        <v>44</v>
      </c>
      <c r="AG28" s="37" t="s">
        <v>43</v>
      </c>
      <c r="AH28" s="37" t="s">
        <v>43</v>
      </c>
      <c r="AI28" s="37" t="s">
        <v>43</v>
      </c>
      <c r="AJ28" s="37" t="s">
        <v>43</v>
      </c>
      <c r="AK28" s="37" t="str">
        <f t="shared" si="14"/>
        <v>WO</v>
      </c>
      <c r="AL28" s="37" t="s">
        <v>43</v>
      </c>
      <c r="AM28" s="37" t="s">
        <v>43</v>
      </c>
      <c r="AN28" s="37" t="s">
        <v>44</v>
      </c>
      <c r="AO28" s="38"/>
      <c r="AP28" s="42"/>
      <c r="AQ28" s="42"/>
      <c r="AR28" s="37">
        <v>20</v>
      </c>
      <c r="AS28" s="37">
        <v>1020</v>
      </c>
      <c r="AT28" s="37" t="str">
        <f t="shared" si="4"/>
        <v>April</v>
      </c>
      <c r="AU28" s="38" t="s">
        <v>22</v>
      </c>
      <c r="AV28" s="33">
        <f t="shared" si="5"/>
        <v>18</v>
      </c>
      <c r="AW28" s="33">
        <f t="shared" si="6"/>
        <v>6</v>
      </c>
      <c r="AX28" s="33">
        <f t="shared" si="7"/>
        <v>2</v>
      </c>
      <c r="AY28" s="33">
        <f t="shared" si="8"/>
        <v>4</v>
      </c>
      <c r="AZ28" s="33">
        <f t="shared" si="9"/>
        <v>30</v>
      </c>
      <c r="BA28" s="33">
        <f t="shared" si="10"/>
        <v>24</v>
      </c>
      <c r="BB28" s="34">
        <v>44000</v>
      </c>
      <c r="BC28" s="35">
        <f t="shared" si="11"/>
        <v>1466.6666666666667</v>
      </c>
      <c r="BD28" s="34">
        <f t="shared" si="12"/>
        <v>8800</v>
      </c>
      <c r="BE28" s="34">
        <f t="shared" si="13"/>
        <v>35200</v>
      </c>
    </row>
    <row r="29" spans="4:59" x14ac:dyDescent="0.3"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</row>
    <row r="30" spans="4:59" x14ac:dyDescent="0.3"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</row>
    <row r="31" spans="4:59" x14ac:dyDescent="0.3"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</row>
    <row r="32" spans="4:59" x14ac:dyDescent="0.3"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</row>
    <row r="33" spans="4:59" x14ac:dyDescent="0.3"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</row>
    <row r="34" spans="4:59" x14ac:dyDescent="0.3"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4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</row>
    <row r="35" spans="4:59" x14ac:dyDescent="0.3"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</row>
    <row r="36" spans="4:59" x14ac:dyDescent="0.3"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</row>
    <row r="37" spans="4:59" x14ac:dyDescent="0.3"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</row>
    <row r="38" spans="4:59" x14ac:dyDescent="0.3"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</row>
    <row r="39" spans="4:59" x14ac:dyDescent="0.3"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</row>
    <row r="40" spans="4:59" x14ac:dyDescent="0.3"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</row>
    <row r="41" spans="4:59" x14ac:dyDescent="0.3"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</row>
    <row r="42" spans="4:59" x14ac:dyDescent="0.3"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</row>
    <row r="43" spans="4:59" x14ac:dyDescent="0.3"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</row>
    <row r="44" spans="4:59" x14ac:dyDescent="0.3"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</row>
  </sheetData>
  <mergeCells count="1">
    <mergeCell ref="G7:I7"/>
  </mergeCells>
  <conditionalFormatting sqref="K9:AO28">
    <cfRule type="containsText" dxfId="35" priority="1" operator="containsText" text="L">
      <formula>NOT(ISERROR(SEARCH("L",K9)))</formula>
    </cfRule>
    <cfRule type="containsText" dxfId="34" priority="2" operator="containsText" text="A">
      <formula>NOT(ISERROR(SEARCH("A",K9)))</formula>
    </cfRule>
    <cfRule type="containsText" dxfId="33" priority="3" operator="containsText" text="P">
      <formula>NOT(ISERROR(SEARCH("P",K9)))</formula>
    </cfRule>
    <cfRule type="containsText" dxfId="32" priority="4" operator="containsText" text="WO">
      <formula>NOT(ISERROR(SEARCH("WO",K9)))</formula>
    </cfRule>
  </conditionalFormatting>
  <dataValidations count="1">
    <dataValidation type="list" allowBlank="1" showInputMessage="1" showErrorMessage="1" sqref="AL9:AO28 Q9:V28 K9:O28 AE9:AJ28 X9:AC28" xr:uid="{D60C6384-3CE3-497E-AC74-90F87BF9C3CB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F75D7A0-993C-411B-AB1E-920FCD3E4A7A}">
          <x14:formula1>
            <xm:f>Rough!$A$1:$A$12</xm:f>
          </x14:formula1>
          <xm:sqref>H5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97A2B-A04F-4ED9-A2AF-ECF5EFD598C0}">
  <dimension ref="D1:BG44"/>
  <sheetViews>
    <sheetView topLeftCell="Z1" zoomScaleNormal="100" workbookViewId="0">
      <selection activeCell="AR12" sqref="AR12"/>
    </sheetView>
  </sheetViews>
  <sheetFormatPr defaultRowHeight="14.4" x14ac:dyDescent="0.3"/>
  <cols>
    <col min="7" max="7" width="9.6640625" customWidth="1"/>
    <col min="8" max="8" width="14.88671875" customWidth="1"/>
    <col min="9" max="9" width="20.21875" customWidth="1"/>
    <col min="10" max="10" width="10.109375" customWidth="1"/>
    <col min="11" max="11" width="4.88671875" bestFit="1" customWidth="1"/>
    <col min="12" max="12" width="3.88671875" bestFit="1" customWidth="1"/>
    <col min="13" max="13" width="4.21875" bestFit="1" customWidth="1"/>
    <col min="14" max="14" width="4.88671875" bestFit="1" customWidth="1"/>
    <col min="15" max="15" width="5.33203125" bestFit="1" customWidth="1"/>
    <col min="16" max="16" width="4.6640625" bestFit="1" customWidth="1"/>
    <col min="17" max="17" width="5.5546875" bestFit="1" customWidth="1"/>
    <col min="18" max="18" width="4.88671875" bestFit="1" customWidth="1"/>
    <col min="19" max="19" width="3.88671875" bestFit="1" customWidth="1"/>
    <col min="20" max="20" width="4.21875" bestFit="1" customWidth="1"/>
    <col min="21" max="21" width="4.88671875" bestFit="1" customWidth="1"/>
    <col min="22" max="22" width="5.33203125" bestFit="1" customWidth="1"/>
    <col min="23" max="23" width="4.6640625" bestFit="1" customWidth="1"/>
    <col min="24" max="24" width="5.5546875" bestFit="1" customWidth="1"/>
    <col min="25" max="25" width="4.88671875" bestFit="1" customWidth="1"/>
    <col min="26" max="26" width="3.88671875" bestFit="1" customWidth="1"/>
    <col min="27" max="27" width="4.21875" bestFit="1" customWidth="1"/>
    <col min="28" max="28" width="4.88671875" bestFit="1" customWidth="1"/>
    <col min="29" max="29" width="5.33203125" bestFit="1" customWidth="1"/>
    <col min="30" max="30" width="4.6640625" bestFit="1" customWidth="1"/>
    <col min="31" max="31" width="5.5546875" bestFit="1" customWidth="1"/>
    <col min="32" max="32" width="4.88671875" bestFit="1" customWidth="1"/>
    <col min="33" max="33" width="3.88671875" bestFit="1" customWidth="1"/>
    <col min="34" max="34" width="4.21875" bestFit="1" customWidth="1"/>
    <col min="35" max="35" width="4.88671875" bestFit="1" customWidth="1"/>
    <col min="36" max="36" width="5.33203125" bestFit="1" customWidth="1"/>
    <col min="37" max="37" width="4.6640625" bestFit="1" customWidth="1"/>
    <col min="38" max="38" width="5.5546875" bestFit="1" customWidth="1"/>
    <col min="39" max="39" width="4.88671875" bestFit="1" customWidth="1"/>
    <col min="40" max="40" width="3.88671875" bestFit="1" customWidth="1"/>
    <col min="41" max="41" width="4.21875" bestFit="1" customWidth="1"/>
    <col min="44" max="44" width="7" customWidth="1"/>
    <col min="45" max="45" width="15.33203125" customWidth="1"/>
    <col min="46" max="46" width="12.5546875" customWidth="1"/>
    <col min="47" max="47" width="19" bestFit="1" customWidth="1"/>
    <col min="48" max="49" width="10.109375" customWidth="1"/>
    <col min="51" max="51" width="11.109375" customWidth="1"/>
    <col min="53" max="53" width="12.5546875" customWidth="1"/>
    <col min="54" max="54" width="12" bestFit="1" customWidth="1"/>
    <col min="55" max="55" width="16.77734375" customWidth="1"/>
    <col min="56" max="56" width="12.5546875" customWidth="1"/>
    <col min="57" max="57" width="14.44140625" customWidth="1"/>
  </cols>
  <sheetData>
    <row r="1" spans="4:59" x14ac:dyDescent="0.3">
      <c r="AQ1" s="42"/>
    </row>
    <row r="2" spans="4:59" x14ac:dyDescent="0.3">
      <c r="AQ2" s="42"/>
    </row>
    <row r="3" spans="4:59" x14ac:dyDescent="0.3">
      <c r="AQ3" s="42"/>
    </row>
    <row r="4" spans="4:59" x14ac:dyDescent="0.3">
      <c r="D4" s="42"/>
      <c r="E4" s="42"/>
      <c r="F4" s="42"/>
      <c r="G4" s="42"/>
      <c r="H4" s="42"/>
      <c r="I4" s="42">
        <f>(DATEDIF($H$5,$H$6,"D")+1)</f>
        <v>31</v>
      </c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</row>
    <row r="5" spans="4:59" x14ac:dyDescent="0.3">
      <c r="D5" s="42"/>
      <c r="E5" s="42"/>
      <c r="F5" s="42"/>
      <c r="G5" s="42" t="s">
        <v>26</v>
      </c>
      <c r="H5" s="43">
        <v>45778</v>
      </c>
      <c r="I5" s="42" t="str">
        <f>TEXT(H5,"MMMM")</f>
        <v>May</v>
      </c>
      <c r="J5" s="42"/>
      <c r="K5" s="42"/>
      <c r="L5" s="42"/>
      <c r="M5" s="43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</row>
    <row r="6" spans="4:59" ht="15" thickBot="1" x14ac:dyDescent="0.35">
      <c r="D6" s="42"/>
      <c r="E6" s="42"/>
      <c r="F6" s="42"/>
      <c r="G6" s="42" t="s">
        <v>27</v>
      </c>
      <c r="H6" s="43">
        <f>EOMONTH(H5,0)</f>
        <v>45808</v>
      </c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</row>
    <row r="7" spans="4:59" ht="15.6" x14ac:dyDescent="0.3">
      <c r="D7" s="42"/>
      <c r="E7" s="42"/>
      <c r="F7" s="42"/>
      <c r="G7" s="83" t="s">
        <v>29</v>
      </c>
      <c r="H7" s="84"/>
      <c r="I7" s="84"/>
      <c r="J7" s="70" t="s">
        <v>28</v>
      </c>
      <c r="K7" s="70" t="str">
        <f>TEXT(K8,"DDD")</f>
        <v>Thu</v>
      </c>
      <c r="L7" s="70" t="str">
        <f t="shared" ref="L7:AN7" si="0">TEXT(L8,"DDD")</f>
        <v>Fri</v>
      </c>
      <c r="M7" s="70" t="str">
        <f t="shared" si="0"/>
        <v>Sat</v>
      </c>
      <c r="N7" s="70" t="str">
        <f t="shared" si="0"/>
        <v>Sun</v>
      </c>
      <c r="O7" s="70" t="str">
        <f t="shared" si="0"/>
        <v>Mon</v>
      </c>
      <c r="P7" s="70" t="str">
        <f t="shared" si="0"/>
        <v>Tue</v>
      </c>
      <c r="Q7" s="70" t="str">
        <f t="shared" si="0"/>
        <v>Wed</v>
      </c>
      <c r="R7" s="70" t="str">
        <f t="shared" si="0"/>
        <v>Thu</v>
      </c>
      <c r="S7" s="70" t="str">
        <f t="shared" si="0"/>
        <v>Fri</v>
      </c>
      <c r="T7" s="70" t="str">
        <f t="shared" si="0"/>
        <v>Sat</v>
      </c>
      <c r="U7" s="70" t="str">
        <f t="shared" si="0"/>
        <v>Sun</v>
      </c>
      <c r="V7" s="70" t="str">
        <f t="shared" si="0"/>
        <v>Mon</v>
      </c>
      <c r="W7" s="70" t="str">
        <f t="shared" si="0"/>
        <v>Tue</v>
      </c>
      <c r="X7" s="70" t="str">
        <f t="shared" si="0"/>
        <v>Wed</v>
      </c>
      <c r="Y7" s="70" t="str">
        <f t="shared" si="0"/>
        <v>Thu</v>
      </c>
      <c r="Z7" s="70" t="str">
        <f t="shared" si="0"/>
        <v>Fri</v>
      </c>
      <c r="AA7" s="70" t="str">
        <f t="shared" si="0"/>
        <v>Sat</v>
      </c>
      <c r="AB7" s="70" t="str">
        <f t="shared" si="0"/>
        <v>Sun</v>
      </c>
      <c r="AC7" s="70" t="str">
        <f t="shared" si="0"/>
        <v>Mon</v>
      </c>
      <c r="AD7" s="70" t="str">
        <f t="shared" si="0"/>
        <v>Tue</v>
      </c>
      <c r="AE7" s="70" t="str">
        <f t="shared" si="0"/>
        <v>Wed</v>
      </c>
      <c r="AF7" s="70" t="str">
        <f t="shared" si="0"/>
        <v>Thu</v>
      </c>
      <c r="AG7" s="70" t="str">
        <f t="shared" si="0"/>
        <v>Fri</v>
      </c>
      <c r="AH7" s="70" t="str">
        <f t="shared" si="0"/>
        <v>Sat</v>
      </c>
      <c r="AI7" s="70" t="str">
        <f t="shared" si="0"/>
        <v>Sun</v>
      </c>
      <c r="AJ7" s="70" t="str">
        <f t="shared" si="0"/>
        <v>Mon</v>
      </c>
      <c r="AK7" s="70" t="str">
        <f t="shared" si="0"/>
        <v>Tue</v>
      </c>
      <c r="AL7" s="70" t="str">
        <f t="shared" si="0"/>
        <v>Wed</v>
      </c>
      <c r="AM7" s="70" t="str">
        <f t="shared" si="0"/>
        <v>Thu</v>
      </c>
      <c r="AN7" s="70" t="str">
        <f t="shared" si="0"/>
        <v>Fri</v>
      </c>
      <c r="AO7" s="71" t="str">
        <f>TEXT(AO8,"DDD")</f>
        <v>Sat</v>
      </c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</row>
    <row r="8" spans="4:59" ht="16.2" thickBot="1" x14ac:dyDescent="0.35">
      <c r="D8" s="42"/>
      <c r="E8" s="42"/>
      <c r="F8" s="42"/>
      <c r="G8" s="57" t="s">
        <v>0</v>
      </c>
      <c r="H8" s="7" t="s">
        <v>23</v>
      </c>
      <c r="I8" s="8" t="s">
        <v>24</v>
      </c>
      <c r="J8" s="50" t="s">
        <v>25</v>
      </c>
      <c r="K8" s="51">
        <f>H5</f>
        <v>45778</v>
      </c>
      <c r="L8" s="51">
        <f>IF(K8&lt;$H$6,K8+1,"")</f>
        <v>45779</v>
      </c>
      <c r="M8" s="51">
        <f t="shared" ref="M8:AO8" si="1">IF(L8&lt;$H$6,L8+1,"")</f>
        <v>45780</v>
      </c>
      <c r="N8" s="51">
        <f t="shared" si="1"/>
        <v>45781</v>
      </c>
      <c r="O8" s="51">
        <f t="shared" si="1"/>
        <v>45782</v>
      </c>
      <c r="P8" s="51">
        <f t="shared" si="1"/>
        <v>45783</v>
      </c>
      <c r="Q8" s="51">
        <f t="shared" si="1"/>
        <v>45784</v>
      </c>
      <c r="R8" s="51">
        <f t="shared" si="1"/>
        <v>45785</v>
      </c>
      <c r="S8" s="51">
        <f t="shared" si="1"/>
        <v>45786</v>
      </c>
      <c r="T8" s="51">
        <f t="shared" si="1"/>
        <v>45787</v>
      </c>
      <c r="U8" s="51">
        <f t="shared" si="1"/>
        <v>45788</v>
      </c>
      <c r="V8" s="51">
        <f t="shared" si="1"/>
        <v>45789</v>
      </c>
      <c r="W8" s="51">
        <f t="shared" si="1"/>
        <v>45790</v>
      </c>
      <c r="X8" s="51">
        <f t="shared" si="1"/>
        <v>45791</v>
      </c>
      <c r="Y8" s="51">
        <f t="shared" si="1"/>
        <v>45792</v>
      </c>
      <c r="Z8" s="51">
        <f t="shared" si="1"/>
        <v>45793</v>
      </c>
      <c r="AA8" s="51">
        <f t="shared" si="1"/>
        <v>45794</v>
      </c>
      <c r="AB8" s="51">
        <f t="shared" si="1"/>
        <v>45795</v>
      </c>
      <c r="AC8" s="51">
        <f>IF(AB8&lt;$H$6,AB8+1,"")</f>
        <v>45796</v>
      </c>
      <c r="AD8" s="51">
        <f t="shared" si="1"/>
        <v>45797</v>
      </c>
      <c r="AE8" s="51">
        <f t="shared" si="1"/>
        <v>45798</v>
      </c>
      <c r="AF8" s="51">
        <f t="shared" si="1"/>
        <v>45799</v>
      </c>
      <c r="AG8" s="51">
        <f t="shared" si="1"/>
        <v>45800</v>
      </c>
      <c r="AH8" s="51">
        <f t="shared" si="1"/>
        <v>45801</v>
      </c>
      <c r="AI8" s="51">
        <f t="shared" si="1"/>
        <v>45802</v>
      </c>
      <c r="AJ8" s="51">
        <f t="shared" si="1"/>
        <v>45803</v>
      </c>
      <c r="AK8" s="51">
        <f t="shared" si="1"/>
        <v>45804</v>
      </c>
      <c r="AL8" s="51">
        <f>IF(AK8&lt;$H$6,AK8+1,"")</f>
        <v>45805</v>
      </c>
      <c r="AM8" s="51">
        <f t="shared" si="1"/>
        <v>45806</v>
      </c>
      <c r="AN8" s="51">
        <f t="shared" si="1"/>
        <v>45807</v>
      </c>
      <c r="AO8" s="72">
        <f t="shared" si="1"/>
        <v>45808</v>
      </c>
      <c r="AP8" s="42"/>
      <c r="AQ8" s="42"/>
      <c r="AR8" s="27" t="s">
        <v>0</v>
      </c>
      <c r="AS8" s="27" t="s">
        <v>23</v>
      </c>
      <c r="AT8" s="27" t="s">
        <v>39</v>
      </c>
      <c r="AU8" s="39" t="s">
        <v>24</v>
      </c>
      <c r="AV8" s="40" t="s">
        <v>30</v>
      </c>
      <c r="AW8" s="41" t="s">
        <v>31</v>
      </c>
      <c r="AX8" s="41" t="s">
        <v>32</v>
      </c>
      <c r="AY8" s="41" t="s">
        <v>33</v>
      </c>
      <c r="AZ8" s="41" t="s">
        <v>28</v>
      </c>
      <c r="BA8" s="41" t="s">
        <v>34</v>
      </c>
      <c r="BB8" s="41" t="s">
        <v>35</v>
      </c>
      <c r="BC8" s="41" t="s">
        <v>36</v>
      </c>
      <c r="BD8" s="41" t="s">
        <v>37</v>
      </c>
      <c r="BE8" s="41" t="s">
        <v>38</v>
      </c>
    </row>
    <row r="9" spans="4:59" ht="15.6" x14ac:dyDescent="0.3">
      <c r="D9" s="42"/>
      <c r="E9" s="42"/>
      <c r="F9" s="42"/>
      <c r="G9" s="59">
        <v>1</v>
      </c>
      <c r="H9" s="10">
        <v>1001</v>
      </c>
      <c r="I9" s="11" t="s">
        <v>3</v>
      </c>
      <c r="J9" s="52">
        <f>COUNTIF($K$7:$AO$7,"sun")</f>
        <v>4</v>
      </c>
      <c r="K9" s="53" t="s">
        <v>43</v>
      </c>
      <c r="L9" s="53" t="s">
        <v>43</v>
      </c>
      <c r="M9" s="53" t="s">
        <v>41</v>
      </c>
      <c r="N9" s="53" t="str">
        <f t="shared" ref="N9:AI17" si="2">IF(N$7="sun","WO","")</f>
        <v>WO</v>
      </c>
      <c r="O9" s="53" t="s">
        <v>43</v>
      </c>
      <c r="P9" s="53" t="s">
        <v>43</v>
      </c>
      <c r="Q9" s="53" t="s">
        <v>43</v>
      </c>
      <c r="R9" s="53" t="s">
        <v>43</v>
      </c>
      <c r="S9" s="53" t="s">
        <v>43</v>
      </c>
      <c r="T9" s="53" t="s">
        <v>43</v>
      </c>
      <c r="U9" s="53" t="str">
        <f t="shared" si="2"/>
        <v>WO</v>
      </c>
      <c r="V9" s="53" t="s">
        <v>43</v>
      </c>
      <c r="W9" s="53" t="s">
        <v>44</v>
      </c>
      <c r="X9" s="53" t="s">
        <v>41</v>
      </c>
      <c r="Y9" s="53" t="s">
        <v>43</v>
      </c>
      <c r="Z9" s="53" t="s">
        <v>43</v>
      </c>
      <c r="AA9" s="53" t="s">
        <v>43</v>
      </c>
      <c r="AB9" s="53" t="str">
        <f t="shared" si="2"/>
        <v>WO</v>
      </c>
      <c r="AC9" s="53" t="s">
        <v>43</v>
      </c>
      <c r="AD9" s="53" t="s">
        <v>44</v>
      </c>
      <c r="AE9" s="53" t="s">
        <v>43</v>
      </c>
      <c r="AF9" s="53" t="s">
        <v>43</v>
      </c>
      <c r="AG9" s="53" t="s">
        <v>43</v>
      </c>
      <c r="AH9" s="53" t="s">
        <v>43</v>
      </c>
      <c r="AI9" s="53" t="str">
        <f t="shared" si="2"/>
        <v>WO</v>
      </c>
      <c r="AJ9" s="53" t="s">
        <v>43</v>
      </c>
      <c r="AK9" s="53" t="s">
        <v>41</v>
      </c>
      <c r="AL9" s="53" t="s">
        <v>43</v>
      </c>
      <c r="AM9" s="53" t="s">
        <v>44</v>
      </c>
      <c r="AN9" s="53" t="s">
        <v>43</v>
      </c>
      <c r="AO9" s="73" t="s">
        <v>43</v>
      </c>
      <c r="AP9" s="42"/>
      <c r="AQ9" s="42"/>
      <c r="AR9" s="3">
        <v>1</v>
      </c>
      <c r="AS9" s="3">
        <v>1001</v>
      </c>
      <c r="AT9" s="3" t="str">
        <f>$I$5</f>
        <v>May</v>
      </c>
      <c r="AU9" s="36" t="s">
        <v>3</v>
      </c>
      <c r="AV9" s="30">
        <f>COUNTIF($K9:$AO9,"P")</f>
        <v>21</v>
      </c>
      <c r="AW9" s="30">
        <f>COUNTIF($K9:$AO9,"A")</f>
        <v>3</v>
      </c>
      <c r="AX9" s="30">
        <f>COUNTIF($K9:$AO9,"L")</f>
        <v>3</v>
      </c>
      <c r="AY9" s="30">
        <f>$J$9</f>
        <v>4</v>
      </c>
      <c r="AZ9" s="30">
        <f>$I$4</f>
        <v>31</v>
      </c>
      <c r="BA9" s="30">
        <f>AZ9-AW9</f>
        <v>28</v>
      </c>
      <c r="BB9" s="31">
        <v>25000</v>
      </c>
      <c r="BC9" s="32">
        <f>BB9/AZ9</f>
        <v>806.45161290322585</v>
      </c>
      <c r="BD9" s="31">
        <f>BC9*AW9</f>
        <v>2419.3548387096776</v>
      </c>
      <c r="BE9" s="31">
        <f>BB9-BD9</f>
        <v>22580.645161290322</v>
      </c>
    </row>
    <row r="10" spans="4:59" ht="15.6" x14ac:dyDescent="0.3">
      <c r="D10" s="42"/>
      <c r="E10" s="42"/>
      <c r="F10" s="42"/>
      <c r="G10" s="59">
        <v>2</v>
      </c>
      <c r="H10" s="10">
        <v>1002</v>
      </c>
      <c r="I10" s="11" t="s">
        <v>4</v>
      </c>
      <c r="J10" s="54">
        <f t="shared" ref="J10:J28" si="3">COUNTIF($K$7:$AO$7,"sun")</f>
        <v>4</v>
      </c>
      <c r="K10" s="3" t="s">
        <v>43</v>
      </c>
      <c r="L10" s="3" t="s">
        <v>44</v>
      </c>
      <c r="M10" s="53" t="s">
        <v>41</v>
      </c>
      <c r="N10" s="3" t="str">
        <f t="shared" si="2"/>
        <v>WO</v>
      </c>
      <c r="O10" s="3" t="s">
        <v>44</v>
      </c>
      <c r="P10" s="3" t="s">
        <v>43</v>
      </c>
      <c r="Q10" s="3" t="s">
        <v>43</v>
      </c>
      <c r="R10" s="3" t="s">
        <v>43</v>
      </c>
      <c r="S10" s="3" t="s">
        <v>44</v>
      </c>
      <c r="T10" s="3" t="s">
        <v>43</v>
      </c>
      <c r="U10" s="3" t="str">
        <f t="shared" si="2"/>
        <v>WO</v>
      </c>
      <c r="V10" s="3" t="s">
        <v>43</v>
      </c>
      <c r="W10" s="3" t="s">
        <v>43</v>
      </c>
      <c r="X10" s="53" t="s">
        <v>41</v>
      </c>
      <c r="Y10" s="3" t="s">
        <v>43</v>
      </c>
      <c r="Z10" s="3" t="s">
        <v>43</v>
      </c>
      <c r="AA10" s="3" t="s">
        <v>44</v>
      </c>
      <c r="AB10" s="3" t="str">
        <f t="shared" si="2"/>
        <v>WO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44</v>
      </c>
      <c r="AH10" s="3" t="s">
        <v>43</v>
      </c>
      <c r="AI10" s="3" t="str">
        <f t="shared" si="2"/>
        <v>WO</v>
      </c>
      <c r="AJ10" s="3" t="s">
        <v>43</v>
      </c>
      <c r="AK10" s="53" t="s">
        <v>41</v>
      </c>
      <c r="AL10" s="3" t="s">
        <v>43</v>
      </c>
      <c r="AM10" s="3" t="s">
        <v>43</v>
      </c>
      <c r="AN10" s="3" t="s">
        <v>43</v>
      </c>
      <c r="AO10" s="36" t="s">
        <v>43</v>
      </c>
      <c r="AP10" s="42"/>
      <c r="AQ10" s="42"/>
      <c r="AR10" s="3">
        <v>2</v>
      </c>
      <c r="AS10" s="3">
        <v>1002</v>
      </c>
      <c r="AT10" s="3" t="str">
        <f t="shared" ref="AT10:AT28" si="4">$I$5</f>
        <v>May</v>
      </c>
      <c r="AU10" s="36" t="s">
        <v>4</v>
      </c>
      <c r="AV10">
        <f t="shared" ref="AV10:AV28" si="5">COUNTIF($K10:$AO10,"P")</f>
        <v>19</v>
      </c>
      <c r="AW10">
        <f t="shared" ref="AW10:AW28" si="6">COUNTIF($K10:$AO10,"A")</f>
        <v>5</v>
      </c>
      <c r="AX10">
        <f t="shared" ref="AX10:AX28" si="7">COUNTIF($K10:$AO10,"L")</f>
        <v>3</v>
      </c>
      <c r="AY10">
        <f t="shared" ref="AY10:AY28" si="8">$J$9</f>
        <v>4</v>
      </c>
      <c r="AZ10">
        <f t="shared" ref="AZ10:AZ28" si="9">$I$4</f>
        <v>31</v>
      </c>
      <c r="BA10">
        <f t="shared" ref="BA10:BA28" si="10">AZ10-AW10</f>
        <v>26</v>
      </c>
      <c r="BB10" s="28">
        <v>24000</v>
      </c>
      <c r="BC10" s="29">
        <f t="shared" ref="BC10:BC28" si="11">BB10/AZ10</f>
        <v>774.19354838709683</v>
      </c>
      <c r="BD10" s="28">
        <f t="shared" ref="BD10:BD28" si="12">BC10*AW10</f>
        <v>3870.9677419354839</v>
      </c>
      <c r="BE10" s="28">
        <f t="shared" ref="BE10:BE28" si="13">BB10-BD10</f>
        <v>20129.032258064515</v>
      </c>
    </row>
    <row r="11" spans="4:59" ht="15.6" x14ac:dyDescent="0.3">
      <c r="D11" s="42"/>
      <c r="E11" s="42"/>
      <c r="F11" s="42"/>
      <c r="G11" s="59">
        <v>3</v>
      </c>
      <c r="H11" s="10">
        <v>1003</v>
      </c>
      <c r="I11" s="11" t="s">
        <v>5</v>
      </c>
      <c r="J11" s="54">
        <f t="shared" si="3"/>
        <v>4</v>
      </c>
      <c r="K11" s="3" t="s">
        <v>43</v>
      </c>
      <c r="L11" s="3" t="s">
        <v>43</v>
      </c>
      <c r="M11" s="53" t="s">
        <v>41</v>
      </c>
      <c r="N11" s="3" t="str">
        <f t="shared" si="2"/>
        <v>WO</v>
      </c>
      <c r="O11" s="3" t="s">
        <v>43</v>
      </c>
      <c r="P11" s="3" t="s">
        <v>43</v>
      </c>
      <c r="Q11" s="3" t="s">
        <v>43</v>
      </c>
      <c r="R11" s="3" t="s">
        <v>43</v>
      </c>
      <c r="S11" s="3" t="s">
        <v>43</v>
      </c>
      <c r="T11" s="3" t="s">
        <v>43</v>
      </c>
      <c r="U11" s="3" t="str">
        <f t="shared" si="2"/>
        <v>WO</v>
      </c>
      <c r="V11" s="3" t="s">
        <v>43</v>
      </c>
      <c r="W11" s="3" t="s">
        <v>43</v>
      </c>
      <c r="X11" s="53" t="s">
        <v>41</v>
      </c>
      <c r="Y11" s="3" t="s">
        <v>43</v>
      </c>
      <c r="Z11" s="3" t="s">
        <v>43</v>
      </c>
      <c r="AA11" s="3" t="s">
        <v>43</v>
      </c>
      <c r="AB11" s="3" t="str">
        <f t="shared" si="2"/>
        <v>WO</v>
      </c>
      <c r="AC11" s="3" t="s">
        <v>44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43</v>
      </c>
      <c r="AI11" s="3" t="str">
        <f t="shared" si="2"/>
        <v>WO</v>
      </c>
      <c r="AJ11" s="3" t="s">
        <v>43</v>
      </c>
      <c r="AK11" s="53" t="s">
        <v>41</v>
      </c>
      <c r="AL11" s="3" t="s">
        <v>43</v>
      </c>
      <c r="AM11" s="3" t="s">
        <v>43</v>
      </c>
      <c r="AN11" s="3" t="s">
        <v>43</v>
      </c>
      <c r="AO11" s="36" t="s">
        <v>43</v>
      </c>
      <c r="AP11" s="42"/>
      <c r="AQ11" s="42"/>
      <c r="AR11" s="3">
        <v>3</v>
      </c>
      <c r="AS11" s="3">
        <v>1003</v>
      </c>
      <c r="AT11" s="3" t="str">
        <f t="shared" si="4"/>
        <v>May</v>
      </c>
      <c r="AU11" s="36" t="s">
        <v>5</v>
      </c>
      <c r="AV11">
        <f t="shared" si="5"/>
        <v>23</v>
      </c>
      <c r="AW11">
        <f t="shared" si="6"/>
        <v>1</v>
      </c>
      <c r="AX11">
        <f t="shared" si="7"/>
        <v>3</v>
      </c>
      <c r="AY11">
        <f t="shared" si="8"/>
        <v>4</v>
      </c>
      <c r="AZ11">
        <f t="shared" si="9"/>
        <v>31</v>
      </c>
      <c r="BA11">
        <f t="shared" si="10"/>
        <v>30</v>
      </c>
      <c r="BB11" s="28">
        <v>23000</v>
      </c>
      <c r="BC11" s="29">
        <f t="shared" si="11"/>
        <v>741.93548387096769</v>
      </c>
      <c r="BD11" s="28">
        <f t="shared" si="12"/>
        <v>741.93548387096769</v>
      </c>
      <c r="BE11" s="28">
        <f t="shared" si="13"/>
        <v>22258.064516129034</v>
      </c>
    </row>
    <row r="12" spans="4:59" ht="15.6" x14ac:dyDescent="0.3">
      <c r="D12" s="42"/>
      <c r="E12" s="42"/>
      <c r="F12" s="42"/>
      <c r="G12" s="59">
        <v>4</v>
      </c>
      <c r="H12" s="10">
        <v>1004</v>
      </c>
      <c r="I12" s="11" t="s">
        <v>6</v>
      </c>
      <c r="J12" s="54">
        <f t="shared" si="3"/>
        <v>4</v>
      </c>
      <c r="K12" s="3" t="s">
        <v>43</v>
      </c>
      <c r="L12" s="3" t="s">
        <v>43</v>
      </c>
      <c r="M12" s="53" t="s">
        <v>41</v>
      </c>
      <c r="N12" s="3" t="str">
        <f t="shared" si="2"/>
        <v>WO</v>
      </c>
      <c r="O12" s="3" t="s">
        <v>43</v>
      </c>
      <c r="P12" s="3" t="s">
        <v>43</v>
      </c>
      <c r="Q12" s="3" t="s">
        <v>43</v>
      </c>
      <c r="R12" s="3" t="s">
        <v>43</v>
      </c>
      <c r="S12" s="3" t="s">
        <v>43</v>
      </c>
      <c r="T12" s="3" t="s">
        <v>43</v>
      </c>
      <c r="U12" s="3" t="str">
        <f t="shared" si="2"/>
        <v>WO</v>
      </c>
      <c r="V12" s="3" t="s">
        <v>43</v>
      </c>
      <c r="W12" s="3" t="s">
        <v>43</v>
      </c>
      <c r="X12" s="53" t="s">
        <v>41</v>
      </c>
      <c r="Y12" s="3" t="s">
        <v>43</v>
      </c>
      <c r="Z12" s="3" t="s">
        <v>43</v>
      </c>
      <c r="AA12" s="3" t="s">
        <v>43</v>
      </c>
      <c r="AB12" s="3" t="str">
        <f t="shared" si="2"/>
        <v>WO</v>
      </c>
      <c r="AC12" s="3" t="s">
        <v>43</v>
      </c>
      <c r="AD12" s="3" t="s">
        <v>43</v>
      </c>
      <c r="AE12" s="3" t="s">
        <v>43</v>
      </c>
      <c r="AF12" s="3" t="s">
        <v>44</v>
      </c>
      <c r="AG12" s="3" t="s">
        <v>43</v>
      </c>
      <c r="AH12" s="3" t="s">
        <v>43</v>
      </c>
      <c r="AI12" s="3" t="str">
        <f t="shared" si="2"/>
        <v>WO</v>
      </c>
      <c r="AJ12" s="3" t="s">
        <v>44</v>
      </c>
      <c r="AK12" s="53" t="s">
        <v>41</v>
      </c>
      <c r="AL12" s="3" t="s">
        <v>43</v>
      </c>
      <c r="AM12" s="3" t="s">
        <v>43</v>
      </c>
      <c r="AN12" s="3" t="s">
        <v>44</v>
      </c>
      <c r="AO12" s="36" t="s">
        <v>43</v>
      </c>
      <c r="AP12" s="42"/>
      <c r="AQ12" s="42"/>
      <c r="AR12" s="3">
        <v>4</v>
      </c>
      <c r="AS12" s="3">
        <v>1004</v>
      </c>
      <c r="AT12" s="3" t="str">
        <f t="shared" si="4"/>
        <v>May</v>
      </c>
      <c r="AU12" s="36" t="s">
        <v>6</v>
      </c>
      <c r="AV12">
        <f t="shared" si="5"/>
        <v>21</v>
      </c>
      <c r="AW12">
        <f t="shared" si="6"/>
        <v>3</v>
      </c>
      <c r="AX12">
        <f t="shared" si="7"/>
        <v>3</v>
      </c>
      <c r="AY12">
        <f t="shared" si="8"/>
        <v>4</v>
      </c>
      <c r="AZ12">
        <f t="shared" si="9"/>
        <v>31</v>
      </c>
      <c r="BA12">
        <f t="shared" si="10"/>
        <v>28</v>
      </c>
      <c r="BB12" s="28">
        <v>25000</v>
      </c>
      <c r="BC12" s="29">
        <f t="shared" si="11"/>
        <v>806.45161290322585</v>
      </c>
      <c r="BD12" s="28">
        <f t="shared" si="12"/>
        <v>2419.3548387096776</v>
      </c>
      <c r="BE12" s="28">
        <f t="shared" si="13"/>
        <v>22580.645161290322</v>
      </c>
    </row>
    <row r="13" spans="4:59" ht="15.6" x14ac:dyDescent="0.3">
      <c r="D13" s="42"/>
      <c r="E13" s="42"/>
      <c r="F13" s="42"/>
      <c r="G13" s="59">
        <v>5</v>
      </c>
      <c r="H13" s="10">
        <v>1005</v>
      </c>
      <c r="I13" s="11" t="s">
        <v>7</v>
      </c>
      <c r="J13" s="54">
        <f t="shared" si="3"/>
        <v>4</v>
      </c>
      <c r="K13" s="3" t="s">
        <v>43</v>
      </c>
      <c r="L13" s="3" t="s">
        <v>43</v>
      </c>
      <c r="M13" s="53" t="s">
        <v>41</v>
      </c>
      <c r="N13" s="3" t="str">
        <f t="shared" si="2"/>
        <v>WO</v>
      </c>
      <c r="O13" s="3" t="s">
        <v>43</v>
      </c>
      <c r="P13" s="3" t="s">
        <v>43</v>
      </c>
      <c r="Q13" s="3" t="s">
        <v>43</v>
      </c>
      <c r="R13" s="3" t="s">
        <v>43</v>
      </c>
      <c r="S13" s="3" t="s">
        <v>43</v>
      </c>
      <c r="T13" s="3" t="s">
        <v>43</v>
      </c>
      <c r="U13" s="3" t="str">
        <f t="shared" si="2"/>
        <v>WO</v>
      </c>
      <c r="V13" s="3" t="s">
        <v>43</v>
      </c>
      <c r="W13" s="3" t="s">
        <v>43</v>
      </c>
      <c r="X13" s="53" t="s">
        <v>41</v>
      </c>
      <c r="Y13" s="3" t="s">
        <v>43</v>
      </c>
      <c r="Z13" s="3" t="s">
        <v>43</v>
      </c>
      <c r="AA13" s="3" t="s">
        <v>43</v>
      </c>
      <c r="AB13" s="3" t="str">
        <f t="shared" si="2"/>
        <v>WO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43</v>
      </c>
      <c r="AI13" s="3" t="str">
        <f t="shared" si="2"/>
        <v>WO</v>
      </c>
      <c r="AJ13" s="3" t="s">
        <v>43</v>
      </c>
      <c r="AK13" s="53" t="s">
        <v>41</v>
      </c>
      <c r="AL13" s="3" t="s">
        <v>44</v>
      </c>
      <c r="AM13" s="3" t="s">
        <v>43</v>
      </c>
      <c r="AN13" s="3" t="s">
        <v>43</v>
      </c>
      <c r="AO13" s="36" t="s">
        <v>43</v>
      </c>
      <c r="AP13" s="42"/>
      <c r="AQ13" s="42"/>
      <c r="AR13" s="3">
        <v>5</v>
      </c>
      <c r="AS13" s="3">
        <v>1005</v>
      </c>
      <c r="AT13" s="3" t="str">
        <f t="shared" si="4"/>
        <v>May</v>
      </c>
      <c r="AU13" s="36" t="s">
        <v>7</v>
      </c>
      <c r="AV13">
        <f t="shared" si="5"/>
        <v>23</v>
      </c>
      <c r="AW13">
        <f t="shared" si="6"/>
        <v>1</v>
      </c>
      <c r="AX13">
        <f t="shared" si="7"/>
        <v>3</v>
      </c>
      <c r="AY13">
        <f t="shared" si="8"/>
        <v>4</v>
      </c>
      <c r="AZ13">
        <f t="shared" si="9"/>
        <v>31</v>
      </c>
      <c r="BA13">
        <f t="shared" si="10"/>
        <v>30</v>
      </c>
      <c r="BB13" s="28">
        <v>26000</v>
      </c>
      <c r="BC13" s="29">
        <f t="shared" si="11"/>
        <v>838.70967741935488</v>
      </c>
      <c r="BD13" s="28">
        <f t="shared" si="12"/>
        <v>838.70967741935488</v>
      </c>
      <c r="BE13" s="28">
        <f t="shared" si="13"/>
        <v>25161.290322580644</v>
      </c>
    </row>
    <row r="14" spans="4:59" ht="15.6" x14ac:dyDescent="0.3">
      <c r="D14" s="42"/>
      <c r="E14" s="42"/>
      <c r="F14" s="42"/>
      <c r="G14" s="59">
        <v>6</v>
      </c>
      <c r="H14" s="10">
        <v>1006</v>
      </c>
      <c r="I14" s="11" t="s">
        <v>8</v>
      </c>
      <c r="J14" s="54">
        <f t="shared" si="3"/>
        <v>4</v>
      </c>
      <c r="K14" s="3" t="s">
        <v>43</v>
      </c>
      <c r="L14" s="3" t="s">
        <v>43</v>
      </c>
      <c r="M14" s="53" t="s">
        <v>41</v>
      </c>
      <c r="N14" s="3" t="str">
        <f t="shared" si="2"/>
        <v>WO</v>
      </c>
      <c r="O14" s="3" t="s">
        <v>43</v>
      </c>
      <c r="P14" s="3" t="s">
        <v>43</v>
      </c>
      <c r="Q14" s="3" t="s">
        <v>43</v>
      </c>
      <c r="R14" s="3" t="s">
        <v>44</v>
      </c>
      <c r="S14" s="3" t="s">
        <v>43</v>
      </c>
      <c r="T14" s="3" t="s">
        <v>43</v>
      </c>
      <c r="U14" s="3" t="str">
        <f t="shared" si="2"/>
        <v>WO</v>
      </c>
      <c r="V14" s="3" t="s">
        <v>43</v>
      </c>
      <c r="W14" s="3" t="s">
        <v>43</v>
      </c>
      <c r="X14" s="53" t="s">
        <v>41</v>
      </c>
      <c r="Y14" s="3" t="s">
        <v>44</v>
      </c>
      <c r="Z14" s="3" t="s">
        <v>43</v>
      </c>
      <c r="AA14" s="3" t="s">
        <v>43</v>
      </c>
      <c r="AB14" s="3" t="str">
        <f t="shared" si="2"/>
        <v>WO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43</v>
      </c>
      <c r="AI14" s="3" t="str">
        <f t="shared" si="2"/>
        <v>WO</v>
      </c>
      <c r="AJ14" s="3" t="s">
        <v>43</v>
      </c>
      <c r="AK14" s="53" t="s">
        <v>41</v>
      </c>
      <c r="AL14" s="3" t="s">
        <v>43</v>
      </c>
      <c r="AM14" s="3" t="s">
        <v>43</v>
      </c>
      <c r="AN14" s="3" t="s">
        <v>43</v>
      </c>
      <c r="AO14" s="36" t="s">
        <v>43</v>
      </c>
      <c r="AP14" s="42"/>
      <c r="AQ14" s="42"/>
      <c r="AR14" s="3">
        <v>6</v>
      </c>
      <c r="AS14" s="3">
        <v>1006</v>
      </c>
      <c r="AT14" s="3" t="str">
        <f t="shared" si="4"/>
        <v>May</v>
      </c>
      <c r="AU14" s="36" t="s">
        <v>8</v>
      </c>
      <c r="AV14">
        <f t="shared" si="5"/>
        <v>22</v>
      </c>
      <c r="AW14">
        <f t="shared" si="6"/>
        <v>2</v>
      </c>
      <c r="AX14">
        <f t="shared" si="7"/>
        <v>3</v>
      </c>
      <c r="AY14">
        <f t="shared" si="8"/>
        <v>4</v>
      </c>
      <c r="AZ14">
        <f t="shared" si="9"/>
        <v>31</v>
      </c>
      <c r="BA14">
        <f t="shared" si="10"/>
        <v>29</v>
      </c>
      <c r="BB14" s="28">
        <v>31000</v>
      </c>
      <c r="BC14" s="29">
        <f t="shared" si="11"/>
        <v>1000</v>
      </c>
      <c r="BD14" s="28">
        <f t="shared" si="12"/>
        <v>2000</v>
      </c>
      <c r="BE14" s="28">
        <f t="shared" si="13"/>
        <v>29000</v>
      </c>
    </row>
    <row r="15" spans="4:59" ht="15.6" x14ac:dyDescent="0.3">
      <c r="D15" s="42"/>
      <c r="E15" s="42"/>
      <c r="F15" s="42"/>
      <c r="G15" s="59">
        <v>7</v>
      </c>
      <c r="H15" s="10">
        <v>1007</v>
      </c>
      <c r="I15" s="11" t="s">
        <v>9</v>
      </c>
      <c r="J15" s="54">
        <f t="shared" si="3"/>
        <v>4</v>
      </c>
      <c r="K15" s="3" t="s">
        <v>43</v>
      </c>
      <c r="L15" s="3" t="s">
        <v>43</v>
      </c>
      <c r="M15" s="53" t="s">
        <v>41</v>
      </c>
      <c r="N15" s="3" t="str">
        <f t="shared" si="2"/>
        <v>WO</v>
      </c>
      <c r="O15" s="3" t="s">
        <v>44</v>
      </c>
      <c r="P15" s="3" t="s">
        <v>43</v>
      </c>
      <c r="Q15" s="3" t="s">
        <v>43</v>
      </c>
      <c r="R15" s="3" t="s">
        <v>43</v>
      </c>
      <c r="S15" s="3" t="s">
        <v>43</v>
      </c>
      <c r="T15" s="3" t="s">
        <v>43</v>
      </c>
      <c r="U15" s="3" t="str">
        <f t="shared" si="2"/>
        <v>WO</v>
      </c>
      <c r="V15" s="3" t="s">
        <v>43</v>
      </c>
      <c r="W15" s="3" t="s">
        <v>43</v>
      </c>
      <c r="X15" s="53" t="s">
        <v>41</v>
      </c>
      <c r="Y15" s="3" t="s">
        <v>43</v>
      </c>
      <c r="Z15" s="3" t="s">
        <v>43</v>
      </c>
      <c r="AA15" s="3" t="s">
        <v>43</v>
      </c>
      <c r="AB15" s="3" t="str">
        <f t="shared" si="2"/>
        <v>WO</v>
      </c>
      <c r="AC15" s="3" t="s">
        <v>43</v>
      </c>
      <c r="AD15" s="3" t="s">
        <v>43</v>
      </c>
      <c r="AE15" s="3" t="s">
        <v>44</v>
      </c>
      <c r="AF15" s="3" t="s">
        <v>43</v>
      </c>
      <c r="AG15" s="3" t="s">
        <v>43</v>
      </c>
      <c r="AH15" s="3" t="s">
        <v>43</v>
      </c>
      <c r="AI15" s="3" t="str">
        <f t="shared" si="2"/>
        <v>WO</v>
      </c>
      <c r="AJ15" s="3" t="s">
        <v>43</v>
      </c>
      <c r="AK15" s="53" t="s">
        <v>41</v>
      </c>
      <c r="AL15" s="3" t="s">
        <v>43</v>
      </c>
      <c r="AM15" s="3" t="s">
        <v>43</v>
      </c>
      <c r="AN15" s="3" t="s">
        <v>43</v>
      </c>
      <c r="AO15" s="36" t="s">
        <v>43</v>
      </c>
      <c r="AP15" s="42"/>
      <c r="AQ15" s="42"/>
      <c r="AR15" s="3">
        <v>7</v>
      </c>
      <c r="AS15" s="3">
        <v>1007</v>
      </c>
      <c r="AT15" s="3" t="str">
        <f t="shared" si="4"/>
        <v>May</v>
      </c>
      <c r="AU15" s="36" t="s">
        <v>9</v>
      </c>
      <c r="AV15">
        <f t="shared" si="5"/>
        <v>22</v>
      </c>
      <c r="AW15">
        <f t="shared" si="6"/>
        <v>2</v>
      </c>
      <c r="AX15">
        <f t="shared" si="7"/>
        <v>3</v>
      </c>
      <c r="AY15">
        <f t="shared" si="8"/>
        <v>4</v>
      </c>
      <c r="AZ15">
        <f t="shared" si="9"/>
        <v>31</v>
      </c>
      <c r="BA15">
        <f t="shared" si="10"/>
        <v>29</v>
      </c>
      <c r="BB15" s="28">
        <v>28000</v>
      </c>
      <c r="BC15" s="29">
        <f t="shared" si="11"/>
        <v>903.22580645161293</v>
      </c>
      <c r="BD15" s="28">
        <f t="shared" si="12"/>
        <v>1806.4516129032259</v>
      </c>
      <c r="BE15" s="28">
        <f t="shared" si="13"/>
        <v>26193.548387096773</v>
      </c>
    </row>
    <row r="16" spans="4:59" ht="15.6" x14ac:dyDescent="0.3">
      <c r="D16" s="42"/>
      <c r="E16" s="42"/>
      <c r="F16" s="42"/>
      <c r="G16" s="59">
        <v>8</v>
      </c>
      <c r="H16" s="10">
        <v>1008</v>
      </c>
      <c r="I16" s="11" t="s">
        <v>10</v>
      </c>
      <c r="J16" s="54">
        <f t="shared" si="3"/>
        <v>4</v>
      </c>
      <c r="K16" s="3" t="s">
        <v>43</v>
      </c>
      <c r="L16" s="3" t="s">
        <v>44</v>
      </c>
      <c r="M16" s="53" t="s">
        <v>41</v>
      </c>
      <c r="N16" s="3" t="str">
        <f t="shared" si="2"/>
        <v>WO</v>
      </c>
      <c r="O16" s="3" t="s">
        <v>43</v>
      </c>
      <c r="P16" s="3" t="s">
        <v>43</v>
      </c>
      <c r="Q16" s="3" t="s">
        <v>43</v>
      </c>
      <c r="R16" s="3" t="s">
        <v>43</v>
      </c>
      <c r="S16" s="3" t="s">
        <v>43</v>
      </c>
      <c r="T16" s="3" t="s">
        <v>43</v>
      </c>
      <c r="U16" s="3" t="str">
        <f t="shared" si="2"/>
        <v>WO</v>
      </c>
      <c r="V16" s="3" t="s">
        <v>43</v>
      </c>
      <c r="W16" s="3" t="s">
        <v>43</v>
      </c>
      <c r="X16" s="53" t="s">
        <v>41</v>
      </c>
      <c r="Y16" s="3" t="s">
        <v>43</v>
      </c>
      <c r="Z16" s="3" t="s">
        <v>43</v>
      </c>
      <c r="AA16" s="3" t="s">
        <v>43</v>
      </c>
      <c r="AB16" s="3" t="str">
        <f t="shared" si="2"/>
        <v>WO</v>
      </c>
      <c r="AC16" s="3" t="s">
        <v>44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43</v>
      </c>
      <c r="AI16" s="3" t="str">
        <f t="shared" si="2"/>
        <v>WO</v>
      </c>
      <c r="AJ16" s="3" t="s">
        <v>43</v>
      </c>
      <c r="AK16" s="53" t="s">
        <v>41</v>
      </c>
      <c r="AL16" s="3" t="s">
        <v>44</v>
      </c>
      <c r="AM16" s="3" t="s">
        <v>43</v>
      </c>
      <c r="AN16" s="3" t="s">
        <v>43</v>
      </c>
      <c r="AO16" s="36" t="s">
        <v>44</v>
      </c>
      <c r="AP16" s="42"/>
      <c r="AQ16" s="42"/>
      <c r="AR16" s="3">
        <v>8</v>
      </c>
      <c r="AS16" s="3">
        <v>1008</v>
      </c>
      <c r="AT16" s="3" t="str">
        <f t="shared" si="4"/>
        <v>May</v>
      </c>
      <c r="AU16" s="36" t="s">
        <v>10</v>
      </c>
      <c r="AV16">
        <f t="shared" si="5"/>
        <v>20</v>
      </c>
      <c r="AW16">
        <f t="shared" si="6"/>
        <v>4</v>
      </c>
      <c r="AX16">
        <f t="shared" si="7"/>
        <v>3</v>
      </c>
      <c r="AY16">
        <f t="shared" si="8"/>
        <v>4</v>
      </c>
      <c r="AZ16">
        <f t="shared" si="9"/>
        <v>31</v>
      </c>
      <c r="BA16">
        <f t="shared" si="10"/>
        <v>27</v>
      </c>
      <c r="BB16" s="28">
        <v>29000</v>
      </c>
      <c r="BC16" s="29">
        <f t="shared" si="11"/>
        <v>935.48387096774195</v>
      </c>
      <c r="BD16" s="28">
        <f t="shared" si="12"/>
        <v>3741.9354838709678</v>
      </c>
      <c r="BE16" s="28">
        <f t="shared" si="13"/>
        <v>25258.06451612903</v>
      </c>
    </row>
    <row r="17" spans="4:59" ht="15.6" x14ac:dyDescent="0.3">
      <c r="D17" s="42"/>
      <c r="E17" s="42"/>
      <c r="F17" s="42"/>
      <c r="G17" s="59">
        <v>9</v>
      </c>
      <c r="H17" s="10">
        <v>1009</v>
      </c>
      <c r="I17" s="11" t="s">
        <v>11</v>
      </c>
      <c r="J17" s="54">
        <f t="shared" si="3"/>
        <v>4</v>
      </c>
      <c r="K17" s="3" t="s">
        <v>43</v>
      </c>
      <c r="L17" s="3" t="s">
        <v>43</v>
      </c>
      <c r="M17" s="53" t="s">
        <v>41</v>
      </c>
      <c r="N17" s="3" t="str">
        <f t="shared" si="2"/>
        <v>WO</v>
      </c>
      <c r="O17" s="3" t="s">
        <v>43</v>
      </c>
      <c r="P17" s="3" t="s">
        <v>43</v>
      </c>
      <c r="Q17" s="3" t="s">
        <v>43</v>
      </c>
      <c r="R17" s="3" t="s">
        <v>43</v>
      </c>
      <c r="S17" s="3" t="s">
        <v>43</v>
      </c>
      <c r="T17" s="3" t="s">
        <v>44</v>
      </c>
      <c r="U17" s="3" t="str">
        <f t="shared" si="2"/>
        <v>WO</v>
      </c>
      <c r="V17" s="3" t="s">
        <v>43</v>
      </c>
      <c r="W17" s="3" t="s">
        <v>43</v>
      </c>
      <c r="X17" s="53" t="s">
        <v>41</v>
      </c>
      <c r="Y17" s="3" t="s">
        <v>43</v>
      </c>
      <c r="Z17" s="3" t="s">
        <v>43</v>
      </c>
      <c r="AA17" s="3" t="s">
        <v>44</v>
      </c>
      <c r="AB17" s="3" t="str">
        <f t="shared" ref="AB17:AI28" si="14">IF(AB$7="sun","WO","")</f>
        <v>WO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44</v>
      </c>
      <c r="AI17" s="3" t="str">
        <f t="shared" si="14"/>
        <v>WO</v>
      </c>
      <c r="AJ17" s="3" t="s">
        <v>43</v>
      </c>
      <c r="AK17" s="53" t="s">
        <v>41</v>
      </c>
      <c r="AL17" s="3" t="s">
        <v>43</v>
      </c>
      <c r="AM17" s="3" t="s">
        <v>43</v>
      </c>
      <c r="AN17" s="3" t="s">
        <v>43</v>
      </c>
      <c r="AO17" s="36" t="s">
        <v>43</v>
      </c>
      <c r="AP17" s="42"/>
      <c r="AQ17" s="42"/>
      <c r="AR17" s="3">
        <v>9</v>
      </c>
      <c r="AS17" s="3">
        <v>1009</v>
      </c>
      <c r="AT17" s="3" t="str">
        <f t="shared" si="4"/>
        <v>May</v>
      </c>
      <c r="AU17" s="36" t="s">
        <v>11</v>
      </c>
      <c r="AV17">
        <f t="shared" si="5"/>
        <v>21</v>
      </c>
      <c r="AW17">
        <f t="shared" si="6"/>
        <v>3</v>
      </c>
      <c r="AX17">
        <f t="shared" si="7"/>
        <v>3</v>
      </c>
      <c r="AY17">
        <f t="shared" si="8"/>
        <v>4</v>
      </c>
      <c r="AZ17">
        <f t="shared" si="9"/>
        <v>31</v>
      </c>
      <c r="BA17">
        <f t="shared" si="10"/>
        <v>28</v>
      </c>
      <c r="BB17" s="28">
        <v>32000</v>
      </c>
      <c r="BC17" s="29">
        <f t="shared" si="11"/>
        <v>1032.258064516129</v>
      </c>
      <c r="BD17" s="28">
        <f t="shared" si="12"/>
        <v>3096.7741935483873</v>
      </c>
      <c r="BE17" s="28">
        <f t="shared" si="13"/>
        <v>28903.225806451614</v>
      </c>
    </row>
    <row r="18" spans="4:59" ht="15.6" x14ac:dyDescent="0.3">
      <c r="D18" s="42"/>
      <c r="E18" s="42"/>
      <c r="F18" s="42"/>
      <c r="G18" s="59">
        <v>10</v>
      </c>
      <c r="H18" s="10">
        <v>1010</v>
      </c>
      <c r="I18" s="11" t="s">
        <v>12</v>
      </c>
      <c r="J18" s="54">
        <f t="shared" si="3"/>
        <v>4</v>
      </c>
      <c r="K18" s="3" t="s">
        <v>43</v>
      </c>
      <c r="L18" s="3" t="s">
        <v>43</v>
      </c>
      <c r="M18" s="53" t="s">
        <v>41</v>
      </c>
      <c r="N18" s="3" t="str">
        <f t="shared" ref="N18:U28" si="15">IF(N$7="sun","WO","")</f>
        <v>WO</v>
      </c>
      <c r="O18" s="3" t="s">
        <v>43</v>
      </c>
      <c r="P18" s="3" t="s">
        <v>43</v>
      </c>
      <c r="Q18" s="3" t="s">
        <v>43</v>
      </c>
      <c r="R18" s="3" t="s">
        <v>43</v>
      </c>
      <c r="S18" s="3" t="s">
        <v>43</v>
      </c>
      <c r="T18" s="3" t="s">
        <v>43</v>
      </c>
      <c r="U18" s="3" t="str">
        <f t="shared" si="15"/>
        <v>WO</v>
      </c>
      <c r="V18" s="3" t="s">
        <v>43</v>
      </c>
      <c r="W18" s="3" t="s">
        <v>43</v>
      </c>
      <c r="X18" s="53" t="s">
        <v>41</v>
      </c>
      <c r="Y18" s="3" t="s">
        <v>44</v>
      </c>
      <c r="Z18" s="3" t="s">
        <v>43</v>
      </c>
      <c r="AA18" s="3" t="s">
        <v>43</v>
      </c>
      <c r="AB18" s="3" t="str">
        <f t="shared" si="14"/>
        <v>WO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43</v>
      </c>
      <c r="AI18" s="3" t="str">
        <f t="shared" si="14"/>
        <v>WO</v>
      </c>
      <c r="AJ18" s="3" t="s">
        <v>43</v>
      </c>
      <c r="AK18" s="53" t="s">
        <v>41</v>
      </c>
      <c r="AL18" s="3" t="s">
        <v>43</v>
      </c>
      <c r="AM18" s="3" t="s">
        <v>43</v>
      </c>
      <c r="AN18" s="3" t="s">
        <v>43</v>
      </c>
      <c r="AO18" s="36" t="s">
        <v>43</v>
      </c>
      <c r="AP18" s="42"/>
      <c r="AQ18" s="42"/>
      <c r="AR18" s="3">
        <v>10</v>
      </c>
      <c r="AS18" s="3">
        <v>1010</v>
      </c>
      <c r="AT18" s="3" t="str">
        <f t="shared" si="4"/>
        <v>May</v>
      </c>
      <c r="AU18" s="36" t="s">
        <v>12</v>
      </c>
      <c r="AV18">
        <f t="shared" si="5"/>
        <v>23</v>
      </c>
      <c r="AW18">
        <f t="shared" si="6"/>
        <v>1</v>
      </c>
      <c r="AX18">
        <f t="shared" si="7"/>
        <v>3</v>
      </c>
      <c r="AY18">
        <f t="shared" si="8"/>
        <v>4</v>
      </c>
      <c r="AZ18">
        <f t="shared" si="9"/>
        <v>31</v>
      </c>
      <c r="BA18">
        <f t="shared" si="10"/>
        <v>30</v>
      </c>
      <c r="BB18" s="28">
        <v>35000</v>
      </c>
      <c r="BC18" s="29">
        <f t="shared" si="11"/>
        <v>1129.0322580645161</v>
      </c>
      <c r="BD18" s="28">
        <f t="shared" si="12"/>
        <v>1129.0322580645161</v>
      </c>
      <c r="BE18" s="28">
        <f t="shared" si="13"/>
        <v>33870.967741935485</v>
      </c>
    </row>
    <row r="19" spans="4:59" ht="15.6" x14ac:dyDescent="0.3">
      <c r="D19" s="42"/>
      <c r="E19" s="42"/>
      <c r="F19" s="42"/>
      <c r="G19" s="59">
        <v>11</v>
      </c>
      <c r="H19" s="10">
        <v>1011</v>
      </c>
      <c r="I19" s="11" t="s">
        <v>13</v>
      </c>
      <c r="J19" s="54">
        <f t="shared" si="3"/>
        <v>4</v>
      </c>
      <c r="K19" s="3" t="s">
        <v>43</v>
      </c>
      <c r="L19" s="3" t="s">
        <v>43</v>
      </c>
      <c r="M19" s="53" t="s">
        <v>41</v>
      </c>
      <c r="N19" s="3" t="str">
        <f t="shared" si="15"/>
        <v>WO</v>
      </c>
      <c r="O19" s="3" t="s">
        <v>43</v>
      </c>
      <c r="P19" s="3" t="s">
        <v>43</v>
      </c>
      <c r="Q19" s="3" t="s">
        <v>43</v>
      </c>
      <c r="R19" s="3" t="s">
        <v>43</v>
      </c>
      <c r="S19" s="3" t="s">
        <v>43</v>
      </c>
      <c r="T19" s="3" t="s">
        <v>43</v>
      </c>
      <c r="U19" s="3" t="str">
        <f t="shared" si="15"/>
        <v>WO</v>
      </c>
      <c r="V19" s="3" t="s">
        <v>43</v>
      </c>
      <c r="W19" s="3" t="s">
        <v>43</v>
      </c>
      <c r="X19" s="53" t="s">
        <v>41</v>
      </c>
      <c r="Y19" s="3" t="s">
        <v>43</v>
      </c>
      <c r="Z19" s="3" t="s">
        <v>43</v>
      </c>
      <c r="AA19" s="3" t="s">
        <v>43</v>
      </c>
      <c r="AB19" s="3" t="str">
        <f t="shared" si="14"/>
        <v>WO</v>
      </c>
      <c r="AC19" s="3" t="s">
        <v>43</v>
      </c>
      <c r="AD19" s="3" t="s">
        <v>44</v>
      </c>
      <c r="AE19" s="3" t="s">
        <v>43</v>
      </c>
      <c r="AF19" s="3" t="s">
        <v>43</v>
      </c>
      <c r="AG19" s="3" t="s">
        <v>43</v>
      </c>
      <c r="AH19" s="3" t="s">
        <v>43</v>
      </c>
      <c r="AI19" s="3" t="str">
        <f t="shared" si="14"/>
        <v>WO</v>
      </c>
      <c r="AJ19" s="3" t="s">
        <v>43</v>
      </c>
      <c r="AK19" s="53" t="s">
        <v>41</v>
      </c>
      <c r="AL19" s="3" t="s">
        <v>43</v>
      </c>
      <c r="AM19" s="3" t="s">
        <v>43</v>
      </c>
      <c r="AN19" s="3" t="s">
        <v>43</v>
      </c>
      <c r="AO19" s="36" t="s">
        <v>43</v>
      </c>
      <c r="AP19" s="42"/>
      <c r="AQ19" s="42"/>
      <c r="AR19" s="3">
        <v>11</v>
      </c>
      <c r="AS19" s="3">
        <v>1011</v>
      </c>
      <c r="AT19" s="3" t="str">
        <f t="shared" si="4"/>
        <v>May</v>
      </c>
      <c r="AU19" s="36" t="s">
        <v>13</v>
      </c>
      <c r="AV19">
        <f t="shared" si="5"/>
        <v>23</v>
      </c>
      <c r="AW19">
        <f t="shared" si="6"/>
        <v>1</v>
      </c>
      <c r="AX19">
        <f t="shared" si="7"/>
        <v>3</v>
      </c>
      <c r="AY19">
        <f t="shared" si="8"/>
        <v>4</v>
      </c>
      <c r="AZ19">
        <f t="shared" si="9"/>
        <v>31</v>
      </c>
      <c r="BA19">
        <f t="shared" si="10"/>
        <v>30</v>
      </c>
      <c r="BB19" s="28">
        <v>50000</v>
      </c>
      <c r="BC19" s="29">
        <f t="shared" si="11"/>
        <v>1612.9032258064517</v>
      </c>
      <c r="BD19" s="28">
        <f t="shared" si="12"/>
        <v>1612.9032258064517</v>
      </c>
      <c r="BE19" s="28">
        <f t="shared" si="13"/>
        <v>48387.096774193546</v>
      </c>
    </row>
    <row r="20" spans="4:59" ht="15.6" x14ac:dyDescent="0.3">
      <c r="D20" s="42"/>
      <c r="E20" s="42"/>
      <c r="F20" s="42"/>
      <c r="G20" s="59">
        <v>12</v>
      </c>
      <c r="H20" s="10">
        <v>1012</v>
      </c>
      <c r="I20" s="11" t="s">
        <v>14</v>
      </c>
      <c r="J20" s="54">
        <f t="shared" si="3"/>
        <v>4</v>
      </c>
      <c r="K20" s="3" t="s">
        <v>43</v>
      </c>
      <c r="L20" s="3" t="s">
        <v>43</v>
      </c>
      <c r="M20" s="53" t="s">
        <v>41</v>
      </c>
      <c r="N20" s="3" t="str">
        <f t="shared" si="15"/>
        <v>WO</v>
      </c>
      <c r="O20" s="3" t="s">
        <v>44</v>
      </c>
      <c r="P20" s="3" t="s">
        <v>43</v>
      </c>
      <c r="Q20" s="3" t="s">
        <v>43</v>
      </c>
      <c r="R20" s="3" t="s">
        <v>44</v>
      </c>
      <c r="S20" s="3" t="s">
        <v>43</v>
      </c>
      <c r="T20" s="3" t="s">
        <v>43</v>
      </c>
      <c r="U20" s="3" t="str">
        <f t="shared" si="15"/>
        <v>WO</v>
      </c>
      <c r="V20" s="3" t="s">
        <v>43</v>
      </c>
      <c r="W20" s="3" t="s">
        <v>43</v>
      </c>
      <c r="X20" s="53" t="s">
        <v>41</v>
      </c>
      <c r="Y20" s="3" t="s">
        <v>43</v>
      </c>
      <c r="Z20" s="3" t="s">
        <v>43</v>
      </c>
      <c r="AA20" s="3" t="s">
        <v>43</v>
      </c>
      <c r="AB20" s="3" t="str">
        <f t="shared" si="14"/>
        <v>WO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43</v>
      </c>
      <c r="AI20" s="3" t="str">
        <f t="shared" si="14"/>
        <v>WO</v>
      </c>
      <c r="AJ20" s="3" t="s">
        <v>44</v>
      </c>
      <c r="AK20" s="53" t="s">
        <v>41</v>
      </c>
      <c r="AL20" s="3" t="s">
        <v>43</v>
      </c>
      <c r="AM20" s="3" t="s">
        <v>43</v>
      </c>
      <c r="AN20" s="3" t="s">
        <v>43</v>
      </c>
      <c r="AO20" s="36" t="s">
        <v>43</v>
      </c>
      <c r="AP20" s="42"/>
      <c r="AQ20" s="42"/>
      <c r="AR20" s="3">
        <v>12</v>
      </c>
      <c r="AS20" s="3">
        <v>1012</v>
      </c>
      <c r="AT20" s="3" t="str">
        <f t="shared" si="4"/>
        <v>May</v>
      </c>
      <c r="AU20" s="36" t="s">
        <v>14</v>
      </c>
      <c r="AV20">
        <f t="shared" si="5"/>
        <v>21</v>
      </c>
      <c r="AW20">
        <f t="shared" si="6"/>
        <v>3</v>
      </c>
      <c r="AX20">
        <f t="shared" si="7"/>
        <v>3</v>
      </c>
      <c r="AY20">
        <f t="shared" si="8"/>
        <v>4</v>
      </c>
      <c r="AZ20">
        <f t="shared" si="9"/>
        <v>31</v>
      </c>
      <c r="BA20">
        <f t="shared" si="10"/>
        <v>28</v>
      </c>
      <c r="BB20" s="28">
        <v>29000</v>
      </c>
      <c r="BC20" s="29">
        <f t="shared" si="11"/>
        <v>935.48387096774195</v>
      </c>
      <c r="BD20" s="28">
        <f t="shared" si="12"/>
        <v>2806.4516129032259</v>
      </c>
      <c r="BE20" s="28">
        <f t="shared" si="13"/>
        <v>26193.548387096773</v>
      </c>
    </row>
    <row r="21" spans="4:59" ht="15.6" x14ac:dyDescent="0.3">
      <c r="D21" s="42"/>
      <c r="E21" s="42"/>
      <c r="F21" s="42"/>
      <c r="G21" s="59">
        <v>13</v>
      </c>
      <c r="H21" s="10">
        <v>1013</v>
      </c>
      <c r="I21" s="11" t="s">
        <v>15</v>
      </c>
      <c r="J21" s="54">
        <f t="shared" si="3"/>
        <v>4</v>
      </c>
      <c r="K21" s="3" t="s">
        <v>43</v>
      </c>
      <c r="L21" s="3" t="s">
        <v>43</v>
      </c>
      <c r="M21" s="53" t="s">
        <v>41</v>
      </c>
      <c r="N21" s="3" t="str">
        <f t="shared" si="15"/>
        <v>WO</v>
      </c>
      <c r="O21" s="3" t="s">
        <v>43</v>
      </c>
      <c r="P21" s="3" t="s">
        <v>43</v>
      </c>
      <c r="Q21" s="3" t="s">
        <v>43</v>
      </c>
      <c r="R21" s="3" t="s">
        <v>43</v>
      </c>
      <c r="S21" s="3" t="s">
        <v>43</v>
      </c>
      <c r="T21" s="3" t="s">
        <v>43</v>
      </c>
      <c r="U21" s="3" t="str">
        <f t="shared" si="15"/>
        <v>WO</v>
      </c>
      <c r="V21" s="3" t="s">
        <v>44</v>
      </c>
      <c r="W21" s="3" t="s">
        <v>43</v>
      </c>
      <c r="X21" s="53" t="s">
        <v>41</v>
      </c>
      <c r="Y21" s="3" t="s">
        <v>43</v>
      </c>
      <c r="Z21" s="3" t="s">
        <v>43</v>
      </c>
      <c r="AA21" s="3" t="s">
        <v>43</v>
      </c>
      <c r="AB21" s="3" t="str">
        <f t="shared" si="14"/>
        <v>WO</v>
      </c>
      <c r="AC21" s="3" t="s">
        <v>43</v>
      </c>
      <c r="AD21" s="3" t="s">
        <v>43</v>
      </c>
      <c r="AE21" s="3" t="s">
        <v>43</v>
      </c>
      <c r="AF21" s="3" t="s">
        <v>44</v>
      </c>
      <c r="AG21" s="3" t="s">
        <v>43</v>
      </c>
      <c r="AH21" s="3" t="s">
        <v>43</v>
      </c>
      <c r="AI21" s="3" t="str">
        <f t="shared" si="14"/>
        <v>WO</v>
      </c>
      <c r="AJ21" s="3" t="s">
        <v>43</v>
      </c>
      <c r="AK21" s="53" t="s">
        <v>41</v>
      </c>
      <c r="AL21" s="3" t="s">
        <v>43</v>
      </c>
      <c r="AM21" s="3" t="s">
        <v>44</v>
      </c>
      <c r="AN21" s="3" t="s">
        <v>43</v>
      </c>
      <c r="AO21" s="36" t="s">
        <v>43</v>
      </c>
      <c r="AP21" s="42"/>
      <c r="AQ21" s="42"/>
      <c r="AR21" s="3">
        <v>13</v>
      </c>
      <c r="AS21" s="3">
        <v>1013</v>
      </c>
      <c r="AT21" s="3" t="str">
        <f t="shared" si="4"/>
        <v>May</v>
      </c>
      <c r="AU21" s="36" t="s">
        <v>15</v>
      </c>
      <c r="AV21">
        <f t="shared" si="5"/>
        <v>21</v>
      </c>
      <c r="AW21">
        <f t="shared" si="6"/>
        <v>3</v>
      </c>
      <c r="AX21">
        <f t="shared" si="7"/>
        <v>3</v>
      </c>
      <c r="AY21">
        <f t="shared" si="8"/>
        <v>4</v>
      </c>
      <c r="AZ21">
        <f t="shared" si="9"/>
        <v>31</v>
      </c>
      <c r="BA21">
        <f t="shared" si="10"/>
        <v>28</v>
      </c>
      <c r="BB21" s="28">
        <v>37000</v>
      </c>
      <c r="BC21" s="29">
        <f t="shared" si="11"/>
        <v>1193.5483870967741</v>
      </c>
      <c r="BD21" s="28">
        <f t="shared" si="12"/>
        <v>3580.6451612903224</v>
      </c>
      <c r="BE21" s="28">
        <f t="shared" si="13"/>
        <v>33419.354838709674</v>
      </c>
    </row>
    <row r="22" spans="4:59" ht="15.6" x14ac:dyDescent="0.3">
      <c r="D22" s="42"/>
      <c r="E22" s="42"/>
      <c r="F22" s="42"/>
      <c r="G22" s="59">
        <v>14</v>
      </c>
      <c r="H22" s="10">
        <v>1014</v>
      </c>
      <c r="I22" s="11" t="s">
        <v>16</v>
      </c>
      <c r="J22" s="54">
        <f t="shared" si="3"/>
        <v>4</v>
      </c>
      <c r="K22" s="3" t="s">
        <v>43</v>
      </c>
      <c r="L22" s="3" t="s">
        <v>43</v>
      </c>
      <c r="M22" s="53" t="s">
        <v>41</v>
      </c>
      <c r="N22" s="3" t="str">
        <f t="shared" si="15"/>
        <v>WO</v>
      </c>
      <c r="O22" s="3" t="s">
        <v>43</v>
      </c>
      <c r="P22" s="3" t="s">
        <v>43</v>
      </c>
      <c r="Q22" s="3" t="s">
        <v>43</v>
      </c>
      <c r="R22" s="3" t="s">
        <v>43</v>
      </c>
      <c r="S22" s="3" t="s">
        <v>43</v>
      </c>
      <c r="T22" s="3" t="s">
        <v>43</v>
      </c>
      <c r="U22" s="3" t="str">
        <f t="shared" si="15"/>
        <v>WO</v>
      </c>
      <c r="V22" s="3" t="s">
        <v>43</v>
      </c>
      <c r="W22" s="3" t="s">
        <v>43</v>
      </c>
      <c r="X22" s="53" t="s">
        <v>41</v>
      </c>
      <c r="Y22" s="3" t="s">
        <v>43</v>
      </c>
      <c r="Z22" s="3" t="s">
        <v>43</v>
      </c>
      <c r="AA22" s="3" t="s">
        <v>43</v>
      </c>
      <c r="AB22" s="3" t="str">
        <f t="shared" si="14"/>
        <v>WO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44</v>
      </c>
      <c r="AI22" s="3" t="str">
        <f t="shared" si="14"/>
        <v>WO</v>
      </c>
      <c r="AJ22" s="3" t="s">
        <v>43</v>
      </c>
      <c r="AK22" s="53" t="s">
        <v>41</v>
      </c>
      <c r="AL22" s="3" t="s">
        <v>43</v>
      </c>
      <c r="AM22" s="3" t="s">
        <v>43</v>
      </c>
      <c r="AN22" s="3" t="s">
        <v>43</v>
      </c>
      <c r="AO22" s="36" t="s">
        <v>43</v>
      </c>
      <c r="AP22" s="42"/>
      <c r="AQ22" s="42"/>
      <c r="AR22" s="3">
        <v>14</v>
      </c>
      <c r="AS22" s="3">
        <v>1014</v>
      </c>
      <c r="AT22" s="3" t="str">
        <f t="shared" si="4"/>
        <v>May</v>
      </c>
      <c r="AU22" s="36" t="s">
        <v>16</v>
      </c>
      <c r="AV22">
        <f t="shared" si="5"/>
        <v>23</v>
      </c>
      <c r="AW22">
        <f t="shared" si="6"/>
        <v>1</v>
      </c>
      <c r="AX22">
        <f t="shared" si="7"/>
        <v>3</v>
      </c>
      <c r="AY22">
        <f t="shared" si="8"/>
        <v>4</v>
      </c>
      <c r="AZ22">
        <f t="shared" si="9"/>
        <v>31</v>
      </c>
      <c r="BA22">
        <f t="shared" si="10"/>
        <v>30</v>
      </c>
      <c r="BB22" s="28">
        <v>41000</v>
      </c>
      <c r="BC22" s="29">
        <f t="shared" si="11"/>
        <v>1322.5806451612902</v>
      </c>
      <c r="BD22" s="28">
        <f t="shared" si="12"/>
        <v>1322.5806451612902</v>
      </c>
      <c r="BE22" s="28">
        <f t="shared" si="13"/>
        <v>39677.419354838712</v>
      </c>
    </row>
    <row r="23" spans="4:59" ht="15.6" x14ac:dyDescent="0.3">
      <c r="D23" s="42"/>
      <c r="E23" s="42"/>
      <c r="F23" s="42"/>
      <c r="G23" s="59">
        <v>15</v>
      </c>
      <c r="H23" s="10">
        <v>1015</v>
      </c>
      <c r="I23" s="11" t="s">
        <v>17</v>
      </c>
      <c r="J23" s="54">
        <f t="shared" si="3"/>
        <v>4</v>
      </c>
      <c r="K23" s="3" t="s">
        <v>43</v>
      </c>
      <c r="L23" s="3" t="s">
        <v>43</v>
      </c>
      <c r="M23" s="53" t="s">
        <v>41</v>
      </c>
      <c r="N23" s="3" t="str">
        <f t="shared" si="15"/>
        <v>WO</v>
      </c>
      <c r="O23" s="3" t="s">
        <v>44</v>
      </c>
      <c r="P23" s="3" t="s">
        <v>43</v>
      </c>
      <c r="Q23" s="3" t="s">
        <v>43</v>
      </c>
      <c r="R23" s="3" t="s">
        <v>43</v>
      </c>
      <c r="S23" s="3" t="s">
        <v>43</v>
      </c>
      <c r="T23" s="3" t="s">
        <v>43</v>
      </c>
      <c r="U23" s="3" t="str">
        <f t="shared" si="15"/>
        <v>WO</v>
      </c>
      <c r="V23" s="3" t="s">
        <v>43</v>
      </c>
      <c r="W23" s="3" t="s">
        <v>43</v>
      </c>
      <c r="X23" s="53" t="s">
        <v>41</v>
      </c>
      <c r="Y23" s="3" t="s">
        <v>43</v>
      </c>
      <c r="Z23" s="3" t="s">
        <v>44</v>
      </c>
      <c r="AA23" s="3" t="s">
        <v>43</v>
      </c>
      <c r="AB23" s="3" t="str">
        <f t="shared" si="14"/>
        <v>WO</v>
      </c>
      <c r="AC23" s="3" t="s">
        <v>44</v>
      </c>
      <c r="AD23" s="3" t="s">
        <v>43</v>
      </c>
      <c r="AE23" s="3" t="s">
        <v>43</v>
      </c>
      <c r="AF23" s="3" t="s">
        <v>43</v>
      </c>
      <c r="AG23" s="3" t="s">
        <v>43</v>
      </c>
      <c r="AH23" s="3" t="s">
        <v>43</v>
      </c>
      <c r="AI23" s="3" t="str">
        <f t="shared" si="14"/>
        <v>WO</v>
      </c>
      <c r="AJ23" s="3" t="s">
        <v>43</v>
      </c>
      <c r="AK23" s="53" t="s">
        <v>41</v>
      </c>
      <c r="AL23" s="3" t="s">
        <v>43</v>
      </c>
      <c r="AM23" s="3" t="s">
        <v>43</v>
      </c>
      <c r="AN23" s="3" t="s">
        <v>43</v>
      </c>
      <c r="AO23" s="36" t="s">
        <v>44</v>
      </c>
      <c r="AP23" s="42"/>
      <c r="AQ23" s="42"/>
      <c r="AR23" s="3">
        <v>15</v>
      </c>
      <c r="AS23" s="3">
        <v>1015</v>
      </c>
      <c r="AT23" s="3" t="str">
        <f t="shared" si="4"/>
        <v>May</v>
      </c>
      <c r="AU23" s="36" t="s">
        <v>17</v>
      </c>
      <c r="AV23">
        <f t="shared" si="5"/>
        <v>20</v>
      </c>
      <c r="AW23">
        <f t="shared" si="6"/>
        <v>4</v>
      </c>
      <c r="AX23">
        <f t="shared" si="7"/>
        <v>3</v>
      </c>
      <c r="AY23">
        <f t="shared" si="8"/>
        <v>4</v>
      </c>
      <c r="AZ23">
        <f t="shared" si="9"/>
        <v>31</v>
      </c>
      <c r="BA23">
        <f t="shared" si="10"/>
        <v>27</v>
      </c>
      <c r="BB23" s="28">
        <v>45000</v>
      </c>
      <c r="BC23" s="29">
        <f t="shared" si="11"/>
        <v>1451.6129032258063</v>
      </c>
      <c r="BD23" s="28">
        <f t="shared" si="12"/>
        <v>5806.4516129032254</v>
      </c>
      <c r="BE23" s="28">
        <f t="shared" si="13"/>
        <v>39193.548387096773</v>
      </c>
    </row>
    <row r="24" spans="4:59" ht="15.6" x14ac:dyDescent="0.3">
      <c r="D24" s="42"/>
      <c r="E24" s="42"/>
      <c r="F24" s="42"/>
      <c r="G24" s="59">
        <v>16</v>
      </c>
      <c r="H24" s="10">
        <v>1016</v>
      </c>
      <c r="I24" s="11" t="s">
        <v>18</v>
      </c>
      <c r="J24" s="54">
        <f t="shared" si="3"/>
        <v>4</v>
      </c>
      <c r="K24" s="3" t="s">
        <v>44</v>
      </c>
      <c r="L24" s="3" t="s">
        <v>43</v>
      </c>
      <c r="M24" s="53" t="s">
        <v>41</v>
      </c>
      <c r="N24" s="3" t="str">
        <f t="shared" si="15"/>
        <v>WO</v>
      </c>
      <c r="O24" s="3" t="s">
        <v>43</v>
      </c>
      <c r="P24" s="3" t="s">
        <v>43</v>
      </c>
      <c r="Q24" s="3" t="s">
        <v>43</v>
      </c>
      <c r="R24" s="3" t="s">
        <v>44</v>
      </c>
      <c r="S24" s="3" t="s">
        <v>43</v>
      </c>
      <c r="T24" s="3" t="s">
        <v>43</v>
      </c>
      <c r="U24" s="3" t="str">
        <f t="shared" si="15"/>
        <v>WO</v>
      </c>
      <c r="V24" s="3" t="s">
        <v>43</v>
      </c>
      <c r="W24" s="3" t="s">
        <v>43</v>
      </c>
      <c r="X24" s="53" t="s">
        <v>41</v>
      </c>
      <c r="Y24" s="3" t="s">
        <v>43</v>
      </c>
      <c r="Z24" s="3" t="s">
        <v>43</v>
      </c>
      <c r="AA24" s="3" t="s">
        <v>43</v>
      </c>
      <c r="AB24" s="3" t="str">
        <f t="shared" si="14"/>
        <v>WO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43</v>
      </c>
      <c r="AI24" s="3" t="str">
        <f t="shared" si="14"/>
        <v>WO</v>
      </c>
      <c r="AJ24" s="3" t="s">
        <v>43</v>
      </c>
      <c r="AK24" s="53" t="s">
        <v>41</v>
      </c>
      <c r="AL24" s="3" t="s">
        <v>43</v>
      </c>
      <c r="AM24" s="3" t="s">
        <v>43</v>
      </c>
      <c r="AN24" s="3" t="s">
        <v>43</v>
      </c>
      <c r="AO24" s="36" t="s">
        <v>43</v>
      </c>
      <c r="AP24" s="42"/>
      <c r="AQ24" s="42"/>
      <c r="AR24" s="3">
        <v>16</v>
      </c>
      <c r="AS24" s="3">
        <v>1016</v>
      </c>
      <c r="AT24" s="3" t="str">
        <f t="shared" si="4"/>
        <v>May</v>
      </c>
      <c r="AU24" s="36" t="s">
        <v>18</v>
      </c>
      <c r="AV24">
        <f t="shared" si="5"/>
        <v>22</v>
      </c>
      <c r="AW24">
        <f t="shared" si="6"/>
        <v>2</v>
      </c>
      <c r="AX24">
        <f t="shared" si="7"/>
        <v>3</v>
      </c>
      <c r="AY24">
        <f t="shared" si="8"/>
        <v>4</v>
      </c>
      <c r="AZ24">
        <f t="shared" si="9"/>
        <v>31</v>
      </c>
      <c r="BA24">
        <f t="shared" si="10"/>
        <v>29</v>
      </c>
      <c r="BB24" s="28">
        <v>21000</v>
      </c>
      <c r="BC24" s="29">
        <f t="shared" si="11"/>
        <v>677.41935483870964</v>
      </c>
      <c r="BD24" s="28">
        <f t="shared" si="12"/>
        <v>1354.8387096774193</v>
      </c>
      <c r="BE24" s="28">
        <f t="shared" si="13"/>
        <v>19645.16129032258</v>
      </c>
    </row>
    <row r="25" spans="4:59" ht="15.6" x14ac:dyDescent="0.3">
      <c r="D25" s="42"/>
      <c r="E25" s="42"/>
      <c r="F25" s="42"/>
      <c r="G25" s="59">
        <v>17</v>
      </c>
      <c r="H25" s="10">
        <v>1017</v>
      </c>
      <c r="I25" s="11" t="s">
        <v>19</v>
      </c>
      <c r="J25" s="54">
        <f t="shared" si="3"/>
        <v>4</v>
      </c>
      <c r="K25" s="3" t="s">
        <v>43</v>
      </c>
      <c r="L25" s="3" t="s">
        <v>43</v>
      </c>
      <c r="M25" s="53" t="s">
        <v>41</v>
      </c>
      <c r="N25" s="3" t="str">
        <f t="shared" si="15"/>
        <v>WO</v>
      </c>
      <c r="O25" s="3" t="s">
        <v>43</v>
      </c>
      <c r="P25" s="3" t="s">
        <v>43</v>
      </c>
      <c r="Q25" s="3" t="s">
        <v>43</v>
      </c>
      <c r="R25" s="3" t="s">
        <v>43</v>
      </c>
      <c r="S25" s="3" t="s">
        <v>43</v>
      </c>
      <c r="T25" s="3" t="s">
        <v>43</v>
      </c>
      <c r="U25" s="3" t="str">
        <f t="shared" si="15"/>
        <v>WO</v>
      </c>
      <c r="V25" s="3" t="s">
        <v>43</v>
      </c>
      <c r="W25" s="3" t="s">
        <v>43</v>
      </c>
      <c r="X25" s="53" t="s">
        <v>41</v>
      </c>
      <c r="Y25" s="3" t="s">
        <v>43</v>
      </c>
      <c r="Z25" s="3" t="s">
        <v>43</v>
      </c>
      <c r="AA25" s="3" t="s">
        <v>43</v>
      </c>
      <c r="AB25" s="3" t="str">
        <f t="shared" si="14"/>
        <v>WO</v>
      </c>
      <c r="AC25" s="3" t="s">
        <v>43</v>
      </c>
      <c r="AD25" s="3" t="s">
        <v>43</v>
      </c>
      <c r="AE25" s="3" t="s">
        <v>43</v>
      </c>
      <c r="AF25" s="3" t="s">
        <v>44</v>
      </c>
      <c r="AG25" s="3" t="s">
        <v>43</v>
      </c>
      <c r="AH25" s="3" t="s">
        <v>43</v>
      </c>
      <c r="AI25" s="3" t="str">
        <f t="shared" si="14"/>
        <v>WO</v>
      </c>
      <c r="AJ25" s="3" t="s">
        <v>43</v>
      </c>
      <c r="AK25" s="53" t="s">
        <v>41</v>
      </c>
      <c r="AL25" s="3" t="s">
        <v>44</v>
      </c>
      <c r="AM25" s="3" t="s">
        <v>43</v>
      </c>
      <c r="AN25" s="3" t="s">
        <v>43</v>
      </c>
      <c r="AO25" s="36" t="s">
        <v>43</v>
      </c>
      <c r="AP25" s="42"/>
      <c r="AQ25" s="42"/>
      <c r="AR25" s="3">
        <v>17</v>
      </c>
      <c r="AS25" s="3">
        <v>1017</v>
      </c>
      <c r="AT25" s="3" t="str">
        <f t="shared" si="4"/>
        <v>May</v>
      </c>
      <c r="AU25" s="36" t="s">
        <v>19</v>
      </c>
      <c r="AV25">
        <f t="shared" si="5"/>
        <v>22</v>
      </c>
      <c r="AW25">
        <f t="shared" si="6"/>
        <v>2</v>
      </c>
      <c r="AX25">
        <f t="shared" si="7"/>
        <v>3</v>
      </c>
      <c r="AY25">
        <f t="shared" si="8"/>
        <v>4</v>
      </c>
      <c r="AZ25">
        <f t="shared" si="9"/>
        <v>31</v>
      </c>
      <c r="BA25">
        <f t="shared" si="10"/>
        <v>29</v>
      </c>
      <c r="BB25" s="28">
        <v>26000</v>
      </c>
      <c r="BC25" s="29">
        <f t="shared" si="11"/>
        <v>838.70967741935488</v>
      </c>
      <c r="BD25" s="28">
        <f t="shared" si="12"/>
        <v>1677.4193548387098</v>
      </c>
      <c r="BE25" s="28">
        <f t="shared" si="13"/>
        <v>24322.580645161292</v>
      </c>
    </row>
    <row r="26" spans="4:59" ht="15.6" x14ac:dyDescent="0.3">
      <c r="D26" s="42"/>
      <c r="E26" s="42"/>
      <c r="F26" s="42"/>
      <c r="G26" s="59">
        <v>18</v>
      </c>
      <c r="H26" s="10">
        <v>1018</v>
      </c>
      <c r="I26" s="11" t="s">
        <v>20</v>
      </c>
      <c r="J26" s="54">
        <f t="shared" si="3"/>
        <v>4</v>
      </c>
      <c r="K26" s="3" t="s">
        <v>43</v>
      </c>
      <c r="L26" s="3" t="s">
        <v>43</v>
      </c>
      <c r="M26" s="53" t="s">
        <v>41</v>
      </c>
      <c r="N26" s="3" t="str">
        <f t="shared" si="15"/>
        <v>WO</v>
      </c>
      <c r="O26" s="3" t="s">
        <v>43</v>
      </c>
      <c r="P26" s="3" t="s">
        <v>43</v>
      </c>
      <c r="Q26" s="3" t="s">
        <v>43</v>
      </c>
      <c r="R26" s="3" t="s">
        <v>43</v>
      </c>
      <c r="S26" s="3" t="s">
        <v>43</v>
      </c>
      <c r="T26" s="3" t="s">
        <v>43</v>
      </c>
      <c r="U26" s="3" t="str">
        <f t="shared" si="15"/>
        <v>WO</v>
      </c>
      <c r="V26" s="3" t="s">
        <v>43</v>
      </c>
      <c r="W26" s="3" t="s">
        <v>43</v>
      </c>
      <c r="X26" s="53" t="s">
        <v>41</v>
      </c>
      <c r="Y26" s="3" t="s">
        <v>43</v>
      </c>
      <c r="Z26" s="3" t="s">
        <v>43</v>
      </c>
      <c r="AA26" s="3" t="s">
        <v>43</v>
      </c>
      <c r="AB26" s="3" t="str">
        <f t="shared" si="14"/>
        <v>WO</v>
      </c>
      <c r="AC26" s="3" t="s">
        <v>43</v>
      </c>
      <c r="AD26" s="3" t="s">
        <v>43</v>
      </c>
      <c r="AE26" s="3" t="s">
        <v>43</v>
      </c>
      <c r="AF26" s="3" t="s">
        <v>43</v>
      </c>
      <c r="AG26" s="3" t="s">
        <v>43</v>
      </c>
      <c r="AH26" s="3" t="s">
        <v>43</v>
      </c>
      <c r="AI26" s="3" t="str">
        <f t="shared" si="14"/>
        <v>WO</v>
      </c>
      <c r="AJ26" s="3" t="s">
        <v>43</v>
      </c>
      <c r="AK26" s="53" t="s">
        <v>41</v>
      </c>
      <c r="AL26" s="3" t="s">
        <v>43</v>
      </c>
      <c r="AM26" s="3" t="s">
        <v>43</v>
      </c>
      <c r="AN26" s="3" t="s">
        <v>43</v>
      </c>
      <c r="AO26" s="36" t="s">
        <v>43</v>
      </c>
      <c r="AP26" s="42"/>
      <c r="AQ26" s="42"/>
      <c r="AR26" s="3">
        <v>18</v>
      </c>
      <c r="AS26" s="3">
        <v>1018</v>
      </c>
      <c r="AT26" s="3" t="str">
        <f t="shared" si="4"/>
        <v>May</v>
      </c>
      <c r="AU26" s="36" t="s">
        <v>20</v>
      </c>
      <c r="AV26">
        <f t="shared" si="5"/>
        <v>24</v>
      </c>
      <c r="AW26">
        <f t="shared" si="6"/>
        <v>0</v>
      </c>
      <c r="AX26">
        <f t="shared" si="7"/>
        <v>3</v>
      </c>
      <c r="AY26">
        <f t="shared" si="8"/>
        <v>4</v>
      </c>
      <c r="AZ26">
        <f t="shared" si="9"/>
        <v>31</v>
      </c>
      <c r="BA26">
        <f t="shared" si="10"/>
        <v>31</v>
      </c>
      <c r="BB26" s="28">
        <v>35000</v>
      </c>
      <c r="BC26" s="29">
        <f t="shared" si="11"/>
        <v>1129.0322580645161</v>
      </c>
      <c r="BD26" s="28">
        <f t="shared" si="12"/>
        <v>0</v>
      </c>
      <c r="BE26" s="28">
        <f t="shared" si="13"/>
        <v>35000</v>
      </c>
    </row>
    <row r="27" spans="4:59" ht="15.6" x14ac:dyDescent="0.3">
      <c r="D27" s="42"/>
      <c r="E27" s="42"/>
      <c r="F27" s="42"/>
      <c r="G27" s="59">
        <v>19</v>
      </c>
      <c r="H27" s="10">
        <v>1019</v>
      </c>
      <c r="I27" s="11" t="s">
        <v>21</v>
      </c>
      <c r="J27" s="54">
        <f t="shared" si="3"/>
        <v>4</v>
      </c>
      <c r="K27" s="3" t="s">
        <v>43</v>
      </c>
      <c r="L27" s="3" t="s">
        <v>43</v>
      </c>
      <c r="M27" s="53" t="s">
        <v>41</v>
      </c>
      <c r="N27" s="3" t="str">
        <f t="shared" si="15"/>
        <v>WO</v>
      </c>
      <c r="O27" s="3" t="s">
        <v>43</v>
      </c>
      <c r="P27" s="3" t="s">
        <v>43</v>
      </c>
      <c r="Q27" s="3" t="s">
        <v>44</v>
      </c>
      <c r="R27" s="3" t="s">
        <v>43</v>
      </c>
      <c r="S27" s="3" t="s">
        <v>43</v>
      </c>
      <c r="T27" s="3" t="s">
        <v>43</v>
      </c>
      <c r="U27" s="3" t="str">
        <f t="shared" si="15"/>
        <v>WO</v>
      </c>
      <c r="V27" s="3" t="s">
        <v>43</v>
      </c>
      <c r="W27" s="3" t="s">
        <v>43</v>
      </c>
      <c r="X27" s="53" t="s">
        <v>41</v>
      </c>
      <c r="Y27" s="3" t="s">
        <v>43</v>
      </c>
      <c r="Z27" s="3" t="s">
        <v>43</v>
      </c>
      <c r="AA27" s="3" t="s">
        <v>43</v>
      </c>
      <c r="AB27" s="3" t="str">
        <f t="shared" si="14"/>
        <v>WO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43</v>
      </c>
      <c r="AI27" s="3" t="str">
        <f t="shared" si="14"/>
        <v>WO</v>
      </c>
      <c r="AJ27" s="3" t="s">
        <v>43</v>
      </c>
      <c r="AK27" s="53" t="s">
        <v>41</v>
      </c>
      <c r="AL27" s="3" t="s">
        <v>43</v>
      </c>
      <c r="AM27" s="3" t="s">
        <v>43</v>
      </c>
      <c r="AN27" s="3" t="s">
        <v>43</v>
      </c>
      <c r="AO27" s="36" t="s">
        <v>43</v>
      </c>
      <c r="AP27" s="42"/>
      <c r="AQ27" s="42"/>
      <c r="AR27" s="3">
        <v>19</v>
      </c>
      <c r="AS27" s="3">
        <v>1019</v>
      </c>
      <c r="AT27" s="3" t="str">
        <f t="shared" si="4"/>
        <v>May</v>
      </c>
      <c r="AU27" s="36" t="s">
        <v>21</v>
      </c>
      <c r="AV27">
        <f t="shared" si="5"/>
        <v>23</v>
      </c>
      <c r="AW27">
        <f t="shared" si="6"/>
        <v>1</v>
      </c>
      <c r="AX27">
        <f t="shared" si="7"/>
        <v>3</v>
      </c>
      <c r="AY27">
        <f t="shared" si="8"/>
        <v>4</v>
      </c>
      <c r="AZ27">
        <f t="shared" si="9"/>
        <v>31</v>
      </c>
      <c r="BA27">
        <f t="shared" si="10"/>
        <v>30</v>
      </c>
      <c r="BB27" s="28">
        <v>55000</v>
      </c>
      <c r="BC27" s="29">
        <f t="shared" si="11"/>
        <v>1774.1935483870968</v>
      </c>
      <c r="BD27" s="28">
        <f t="shared" si="12"/>
        <v>1774.1935483870968</v>
      </c>
      <c r="BE27" s="28">
        <f t="shared" si="13"/>
        <v>53225.806451612902</v>
      </c>
    </row>
    <row r="28" spans="4:59" ht="16.2" thickBot="1" x14ac:dyDescent="0.35">
      <c r="D28" s="42"/>
      <c r="E28" s="42"/>
      <c r="F28" s="42"/>
      <c r="G28" s="61">
        <v>20</v>
      </c>
      <c r="H28" s="62">
        <v>1020</v>
      </c>
      <c r="I28" s="63" t="s">
        <v>22</v>
      </c>
      <c r="J28" s="74">
        <f t="shared" si="3"/>
        <v>4</v>
      </c>
      <c r="K28" s="37" t="s">
        <v>43</v>
      </c>
      <c r="L28" s="37" t="s">
        <v>43</v>
      </c>
      <c r="M28" s="75" t="s">
        <v>41</v>
      </c>
      <c r="N28" s="37" t="str">
        <f t="shared" si="15"/>
        <v>WO</v>
      </c>
      <c r="O28" s="37" t="s">
        <v>44</v>
      </c>
      <c r="P28" s="37" t="s">
        <v>43</v>
      </c>
      <c r="Q28" s="37" t="s">
        <v>43</v>
      </c>
      <c r="R28" s="37" t="s">
        <v>43</v>
      </c>
      <c r="S28" s="37" t="s">
        <v>43</v>
      </c>
      <c r="T28" s="37" t="s">
        <v>43</v>
      </c>
      <c r="U28" s="37" t="str">
        <f t="shared" si="15"/>
        <v>WO</v>
      </c>
      <c r="V28" s="37" t="s">
        <v>43</v>
      </c>
      <c r="W28" s="37" t="s">
        <v>44</v>
      </c>
      <c r="X28" s="75" t="s">
        <v>41</v>
      </c>
      <c r="Y28" s="37" t="s">
        <v>44</v>
      </c>
      <c r="Z28" s="37" t="s">
        <v>43</v>
      </c>
      <c r="AA28" s="37" t="s">
        <v>43</v>
      </c>
      <c r="AB28" s="37" t="str">
        <f t="shared" si="14"/>
        <v>WO</v>
      </c>
      <c r="AC28" s="37" t="s">
        <v>44</v>
      </c>
      <c r="AD28" s="37" t="s">
        <v>43</v>
      </c>
      <c r="AE28" s="37" t="s">
        <v>43</v>
      </c>
      <c r="AF28" s="37" t="s">
        <v>43</v>
      </c>
      <c r="AG28" s="37" t="s">
        <v>43</v>
      </c>
      <c r="AH28" s="37" t="s">
        <v>43</v>
      </c>
      <c r="AI28" s="37" t="str">
        <f t="shared" si="14"/>
        <v>WO</v>
      </c>
      <c r="AJ28" s="37" t="s">
        <v>43</v>
      </c>
      <c r="AK28" s="75" t="s">
        <v>41</v>
      </c>
      <c r="AL28" s="37" t="s">
        <v>43</v>
      </c>
      <c r="AM28" s="37" t="s">
        <v>43</v>
      </c>
      <c r="AN28" s="37" t="s">
        <v>44</v>
      </c>
      <c r="AO28" s="38" t="s">
        <v>43</v>
      </c>
      <c r="AP28" s="42"/>
      <c r="AQ28" s="42"/>
      <c r="AR28" s="37">
        <v>20</v>
      </c>
      <c r="AS28" s="37">
        <v>1020</v>
      </c>
      <c r="AT28" s="37" t="str">
        <f t="shared" si="4"/>
        <v>May</v>
      </c>
      <c r="AU28" s="38" t="s">
        <v>22</v>
      </c>
      <c r="AV28" s="33">
        <f t="shared" si="5"/>
        <v>19</v>
      </c>
      <c r="AW28" s="33">
        <f t="shared" si="6"/>
        <v>5</v>
      </c>
      <c r="AX28" s="33">
        <f t="shared" si="7"/>
        <v>3</v>
      </c>
      <c r="AY28" s="33">
        <f t="shared" si="8"/>
        <v>4</v>
      </c>
      <c r="AZ28" s="33">
        <f t="shared" si="9"/>
        <v>31</v>
      </c>
      <c r="BA28" s="33">
        <f t="shared" si="10"/>
        <v>26</v>
      </c>
      <c r="BB28" s="34">
        <v>44000</v>
      </c>
      <c r="BC28" s="35">
        <f t="shared" si="11"/>
        <v>1419.3548387096773</v>
      </c>
      <c r="BD28" s="34">
        <f t="shared" si="12"/>
        <v>7096.7741935483864</v>
      </c>
      <c r="BE28" s="34">
        <f t="shared" si="13"/>
        <v>36903.225806451614</v>
      </c>
    </row>
    <row r="29" spans="4:59" x14ac:dyDescent="0.3"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</row>
    <row r="30" spans="4:59" x14ac:dyDescent="0.3"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</row>
    <row r="31" spans="4:59" x14ac:dyDescent="0.3"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</row>
    <row r="32" spans="4:59" x14ac:dyDescent="0.3"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</row>
    <row r="33" spans="4:59" x14ac:dyDescent="0.3"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</row>
    <row r="34" spans="4:59" x14ac:dyDescent="0.3"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4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</row>
    <row r="35" spans="4:59" x14ac:dyDescent="0.3"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</row>
    <row r="36" spans="4:59" x14ac:dyDescent="0.3"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</row>
    <row r="37" spans="4:59" x14ac:dyDescent="0.3"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</row>
    <row r="38" spans="4:59" x14ac:dyDescent="0.3"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</row>
    <row r="39" spans="4:59" x14ac:dyDescent="0.3"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</row>
    <row r="40" spans="4:59" x14ac:dyDescent="0.3"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</row>
    <row r="41" spans="4:59" x14ac:dyDescent="0.3"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</row>
    <row r="42" spans="4:59" x14ac:dyDescent="0.3"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</row>
    <row r="43" spans="4:59" x14ac:dyDescent="0.3"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</row>
    <row r="44" spans="4:59" x14ac:dyDescent="0.3"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</row>
  </sheetData>
  <mergeCells count="1">
    <mergeCell ref="G7:I7"/>
  </mergeCells>
  <conditionalFormatting sqref="K9:AO28">
    <cfRule type="containsText" dxfId="31" priority="1" operator="containsText" text="L">
      <formula>NOT(ISERROR(SEARCH("L",K9)))</formula>
    </cfRule>
    <cfRule type="containsText" dxfId="30" priority="2" operator="containsText" text="A">
      <formula>NOT(ISERROR(SEARCH("A",K9)))</formula>
    </cfRule>
    <cfRule type="containsText" dxfId="29" priority="3" operator="containsText" text="P">
      <formula>NOT(ISERROR(SEARCH("P",K9)))</formula>
    </cfRule>
    <cfRule type="containsText" dxfId="28" priority="4" operator="containsText" text="WO">
      <formula>NOT(ISERROR(SEARCH("WO",K9)))</formula>
    </cfRule>
  </conditionalFormatting>
  <dataValidations count="1">
    <dataValidation type="list" allowBlank="1" showInputMessage="1" showErrorMessage="1" sqref="V9:AA28 O9:T28 K9:M28 AC9:AH28 AJ9:AO28" xr:uid="{A003858A-F1B0-4E9F-B957-AB2E7BCDB13E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7279F70-5574-4D31-9044-EAB839F744E6}">
          <x14:formula1>
            <xm:f>Rough!$A$1:$A$12</xm:f>
          </x14:formula1>
          <xm:sqref>H5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B7A5-8AA2-4A89-B9BC-3839B8385D84}">
  <dimension ref="D1:BG44"/>
  <sheetViews>
    <sheetView topLeftCell="Z1" zoomScaleNormal="100" workbookViewId="0">
      <selection activeCell="AR13" sqref="AR13"/>
    </sheetView>
  </sheetViews>
  <sheetFormatPr defaultRowHeight="14.4" x14ac:dyDescent="0.3"/>
  <cols>
    <col min="7" max="7" width="9.6640625" customWidth="1"/>
    <col min="8" max="8" width="14.88671875" customWidth="1"/>
    <col min="9" max="9" width="20.21875" customWidth="1"/>
    <col min="10" max="10" width="10" bestFit="1" customWidth="1"/>
    <col min="11" max="11" width="5.21875" bestFit="1" customWidth="1"/>
    <col min="12" max="12" width="5.5546875" bestFit="1" customWidth="1"/>
    <col min="13" max="13" width="5" bestFit="1" customWidth="1"/>
    <col min="14" max="14" width="5.44140625" bestFit="1" customWidth="1"/>
    <col min="15" max="15" width="5.21875" bestFit="1" customWidth="1"/>
    <col min="16" max="16" width="4.109375" bestFit="1" customWidth="1"/>
    <col min="17" max="17" width="4.44140625" bestFit="1" customWidth="1"/>
    <col min="18" max="18" width="5.21875" bestFit="1" customWidth="1"/>
    <col min="19" max="19" width="5.5546875" bestFit="1" customWidth="1"/>
    <col min="20" max="20" width="5" bestFit="1" customWidth="1"/>
    <col min="21" max="21" width="5.44140625" bestFit="1" customWidth="1"/>
    <col min="22" max="22" width="5.21875" bestFit="1" customWidth="1"/>
    <col min="23" max="23" width="4.109375" bestFit="1" customWidth="1"/>
    <col min="24" max="24" width="4.44140625" bestFit="1" customWidth="1"/>
    <col min="25" max="25" width="5.21875" bestFit="1" customWidth="1"/>
    <col min="26" max="26" width="5.5546875" bestFit="1" customWidth="1"/>
    <col min="27" max="27" width="5" bestFit="1" customWidth="1"/>
    <col min="28" max="28" width="5.44140625" bestFit="1" customWidth="1"/>
    <col min="29" max="29" width="5.21875" bestFit="1" customWidth="1"/>
    <col min="30" max="30" width="4.109375" bestFit="1" customWidth="1"/>
    <col min="31" max="31" width="4.44140625" bestFit="1" customWidth="1"/>
    <col min="32" max="32" width="5.21875" bestFit="1" customWidth="1"/>
    <col min="33" max="33" width="5.5546875" bestFit="1" customWidth="1"/>
    <col min="34" max="34" width="5" bestFit="1" customWidth="1"/>
    <col min="35" max="35" width="5.44140625" bestFit="1" customWidth="1"/>
    <col min="36" max="36" width="5.21875" bestFit="1" customWidth="1"/>
    <col min="37" max="37" width="4.109375" bestFit="1" customWidth="1"/>
    <col min="38" max="38" width="4.44140625" bestFit="1" customWidth="1"/>
    <col min="39" max="39" width="5.21875" bestFit="1" customWidth="1"/>
    <col min="40" max="40" width="5.5546875" bestFit="1" customWidth="1"/>
    <col min="41" max="41" width="3.88671875" customWidth="1"/>
    <col min="44" max="44" width="7" customWidth="1"/>
    <col min="45" max="45" width="15.33203125" customWidth="1"/>
    <col min="46" max="46" width="12.5546875" customWidth="1"/>
    <col min="47" max="47" width="19" bestFit="1" customWidth="1"/>
    <col min="48" max="49" width="10.109375" customWidth="1"/>
    <col min="51" max="51" width="11.109375" customWidth="1"/>
    <col min="53" max="53" width="12.5546875" customWidth="1"/>
    <col min="54" max="54" width="12" bestFit="1" customWidth="1"/>
    <col min="55" max="55" width="16.77734375" customWidth="1"/>
    <col min="56" max="56" width="12.5546875" customWidth="1"/>
    <col min="57" max="57" width="14.44140625" customWidth="1"/>
  </cols>
  <sheetData>
    <row r="1" spans="4:59" x14ac:dyDescent="0.3">
      <c r="AQ1" s="42"/>
    </row>
    <row r="2" spans="4:59" x14ac:dyDescent="0.3">
      <c r="AQ2" s="42"/>
    </row>
    <row r="3" spans="4:59" x14ac:dyDescent="0.3">
      <c r="AQ3" s="42"/>
    </row>
    <row r="4" spans="4:59" x14ac:dyDescent="0.3">
      <c r="D4" s="42"/>
      <c r="E4" s="42"/>
      <c r="F4" s="42"/>
      <c r="G4" s="68"/>
      <c r="H4" s="68"/>
      <c r="I4" s="68">
        <f>(DATEDIF($H$5,$H$6,"D")+1)</f>
        <v>30</v>
      </c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</row>
    <row r="5" spans="4:59" x14ac:dyDescent="0.3">
      <c r="D5" s="42"/>
      <c r="E5" s="42"/>
      <c r="F5" s="42"/>
      <c r="G5" s="68" t="s">
        <v>26</v>
      </c>
      <c r="H5" s="69">
        <v>45809</v>
      </c>
      <c r="I5" s="68" t="str">
        <f>TEXT(H5,"MMMM")</f>
        <v>June</v>
      </c>
      <c r="J5" s="42"/>
      <c r="K5" s="42"/>
      <c r="L5" s="42"/>
      <c r="M5" s="43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</row>
    <row r="6" spans="4:59" ht="15" thickBot="1" x14ac:dyDescent="0.35">
      <c r="D6" s="42"/>
      <c r="E6" s="42"/>
      <c r="F6" s="42"/>
      <c r="G6" s="68" t="s">
        <v>27</v>
      </c>
      <c r="H6" s="69">
        <f>EOMONTH(H5,0)</f>
        <v>45838</v>
      </c>
      <c r="I6" s="68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</row>
    <row r="7" spans="4:59" ht="15.6" x14ac:dyDescent="0.3">
      <c r="D7" s="42"/>
      <c r="E7" s="42"/>
      <c r="F7" s="42"/>
      <c r="G7" s="83" t="s">
        <v>29</v>
      </c>
      <c r="H7" s="84"/>
      <c r="I7" s="84"/>
      <c r="J7" s="70" t="s">
        <v>28</v>
      </c>
      <c r="K7" s="70" t="str">
        <f>TEXT(K8,"DDD")</f>
        <v>Sun</v>
      </c>
      <c r="L7" s="70" t="str">
        <f t="shared" ref="L7:AO7" si="0">TEXT(L8,"DDD")</f>
        <v>Mon</v>
      </c>
      <c r="M7" s="70" t="str">
        <f t="shared" si="0"/>
        <v>Tue</v>
      </c>
      <c r="N7" s="70" t="str">
        <f t="shared" si="0"/>
        <v>Wed</v>
      </c>
      <c r="O7" s="70" t="str">
        <f t="shared" si="0"/>
        <v>Thu</v>
      </c>
      <c r="P7" s="70" t="str">
        <f t="shared" si="0"/>
        <v>Fri</v>
      </c>
      <c r="Q7" s="70" t="str">
        <f t="shared" si="0"/>
        <v>Sat</v>
      </c>
      <c r="R7" s="70" t="str">
        <f t="shared" si="0"/>
        <v>Sun</v>
      </c>
      <c r="S7" s="70" t="str">
        <f t="shared" si="0"/>
        <v>Mon</v>
      </c>
      <c r="T7" s="70" t="str">
        <f t="shared" si="0"/>
        <v>Tue</v>
      </c>
      <c r="U7" s="70" t="str">
        <f t="shared" si="0"/>
        <v>Wed</v>
      </c>
      <c r="V7" s="70" t="str">
        <f t="shared" si="0"/>
        <v>Thu</v>
      </c>
      <c r="W7" s="70" t="str">
        <f t="shared" si="0"/>
        <v>Fri</v>
      </c>
      <c r="X7" s="70" t="str">
        <f t="shared" si="0"/>
        <v>Sat</v>
      </c>
      <c r="Y7" s="70" t="str">
        <f t="shared" si="0"/>
        <v>Sun</v>
      </c>
      <c r="Z7" s="70" t="str">
        <f t="shared" si="0"/>
        <v>Mon</v>
      </c>
      <c r="AA7" s="70" t="str">
        <f t="shared" si="0"/>
        <v>Tue</v>
      </c>
      <c r="AB7" s="70" t="str">
        <f t="shared" si="0"/>
        <v>Wed</v>
      </c>
      <c r="AC7" s="70" t="str">
        <f t="shared" si="0"/>
        <v>Thu</v>
      </c>
      <c r="AD7" s="70" t="str">
        <f t="shared" si="0"/>
        <v>Fri</v>
      </c>
      <c r="AE7" s="70" t="str">
        <f t="shared" si="0"/>
        <v>Sat</v>
      </c>
      <c r="AF7" s="70" t="str">
        <f t="shared" si="0"/>
        <v>Sun</v>
      </c>
      <c r="AG7" s="70" t="str">
        <f t="shared" si="0"/>
        <v>Mon</v>
      </c>
      <c r="AH7" s="70" t="str">
        <f t="shared" si="0"/>
        <v>Tue</v>
      </c>
      <c r="AI7" s="70" t="str">
        <f t="shared" si="0"/>
        <v>Wed</v>
      </c>
      <c r="AJ7" s="70" t="str">
        <f t="shared" si="0"/>
        <v>Thu</v>
      </c>
      <c r="AK7" s="70" t="str">
        <f t="shared" si="0"/>
        <v>Fri</v>
      </c>
      <c r="AL7" s="70" t="str">
        <f t="shared" si="0"/>
        <v>Sat</v>
      </c>
      <c r="AM7" s="70" t="str">
        <f t="shared" si="0"/>
        <v>Sun</v>
      </c>
      <c r="AN7" s="70" t="str">
        <f t="shared" si="0"/>
        <v>Mon</v>
      </c>
      <c r="AO7" s="71" t="str">
        <f t="shared" si="0"/>
        <v/>
      </c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</row>
    <row r="8" spans="4:59" ht="16.2" thickBot="1" x14ac:dyDescent="0.35">
      <c r="D8" s="42"/>
      <c r="E8" s="42"/>
      <c r="F8" s="42"/>
      <c r="G8" s="57" t="s">
        <v>0</v>
      </c>
      <c r="H8" s="7" t="s">
        <v>23</v>
      </c>
      <c r="I8" s="8" t="s">
        <v>24</v>
      </c>
      <c r="J8" s="50" t="s">
        <v>25</v>
      </c>
      <c r="K8" s="51">
        <f>H5</f>
        <v>45809</v>
      </c>
      <c r="L8" s="51">
        <f>IF(K8&lt;$H$6,K8+1,"")</f>
        <v>45810</v>
      </c>
      <c r="M8" s="51">
        <f t="shared" ref="M8:AO8" si="1">IF(L8&lt;$H$6,L8+1,"")</f>
        <v>45811</v>
      </c>
      <c r="N8" s="51">
        <f t="shared" si="1"/>
        <v>45812</v>
      </c>
      <c r="O8" s="51">
        <f t="shared" si="1"/>
        <v>45813</v>
      </c>
      <c r="P8" s="51">
        <f t="shared" si="1"/>
        <v>45814</v>
      </c>
      <c r="Q8" s="51">
        <f t="shared" si="1"/>
        <v>45815</v>
      </c>
      <c r="R8" s="51">
        <f t="shared" si="1"/>
        <v>45816</v>
      </c>
      <c r="S8" s="51">
        <f t="shared" si="1"/>
        <v>45817</v>
      </c>
      <c r="T8" s="51">
        <f t="shared" si="1"/>
        <v>45818</v>
      </c>
      <c r="U8" s="51">
        <f t="shared" si="1"/>
        <v>45819</v>
      </c>
      <c r="V8" s="51">
        <f t="shared" si="1"/>
        <v>45820</v>
      </c>
      <c r="W8" s="51">
        <f t="shared" si="1"/>
        <v>45821</v>
      </c>
      <c r="X8" s="51">
        <f t="shared" si="1"/>
        <v>45822</v>
      </c>
      <c r="Y8" s="51">
        <f t="shared" si="1"/>
        <v>45823</v>
      </c>
      <c r="Z8" s="51">
        <f t="shared" si="1"/>
        <v>45824</v>
      </c>
      <c r="AA8" s="51">
        <f t="shared" si="1"/>
        <v>45825</v>
      </c>
      <c r="AB8" s="51">
        <f t="shared" si="1"/>
        <v>45826</v>
      </c>
      <c r="AC8" s="51">
        <f>IF(AB8&lt;$H$6,AB8+1,"")</f>
        <v>45827</v>
      </c>
      <c r="AD8" s="51">
        <f t="shared" si="1"/>
        <v>45828</v>
      </c>
      <c r="AE8" s="51">
        <f t="shared" si="1"/>
        <v>45829</v>
      </c>
      <c r="AF8" s="51">
        <f t="shared" si="1"/>
        <v>45830</v>
      </c>
      <c r="AG8" s="51">
        <f t="shared" si="1"/>
        <v>45831</v>
      </c>
      <c r="AH8" s="51">
        <f t="shared" si="1"/>
        <v>45832</v>
      </c>
      <c r="AI8" s="51">
        <f t="shared" si="1"/>
        <v>45833</v>
      </c>
      <c r="AJ8" s="51">
        <f t="shared" si="1"/>
        <v>45834</v>
      </c>
      <c r="AK8" s="51">
        <f t="shared" si="1"/>
        <v>45835</v>
      </c>
      <c r="AL8" s="51">
        <f>IF(AK8&lt;$H$6,AK8+1,"")</f>
        <v>45836</v>
      </c>
      <c r="AM8" s="51">
        <f t="shared" si="1"/>
        <v>45837</v>
      </c>
      <c r="AN8" s="51">
        <f t="shared" si="1"/>
        <v>45838</v>
      </c>
      <c r="AO8" s="72" t="str">
        <f t="shared" si="1"/>
        <v/>
      </c>
      <c r="AP8" s="42"/>
      <c r="AQ8" s="42"/>
      <c r="AR8" s="27" t="s">
        <v>0</v>
      </c>
      <c r="AS8" s="27" t="s">
        <v>23</v>
      </c>
      <c r="AT8" s="27" t="s">
        <v>39</v>
      </c>
      <c r="AU8" s="39" t="s">
        <v>24</v>
      </c>
      <c r="AV8" s="40" t="s">
        <v>30</v>
      </c>
      <c r="AW8" s="41" t="s">
        <v>31</v>
      </c>
      <c r="AX8" s="41" t="s">
        <v>32</v>
      </c>
      <c r="AY8" s="41" t="s">
        <v>33</v>
      </c>
      <c r="AZ8" s="41" t="s">
        <v>28</v>
      </c>
      <c r="BA8" s="41" t="s">
        <v>34</v>
      </c>
      <c r="BB8" s="41" t="s">
        <v>35</v>
      </c>
      <c r="BC8" s="41" t="s">
        <v>36</v>
      </c>
      <c r="BD8" s="41" t="s">
        <v>37</v>
      </c>
      <c r="BE8" s="41" t="s">
        <v>38</v>
      </c>
    </row>
    <row r="9" spans="4:59" ht="15.6" x14ac:dyDescent="0.3">
      <c r="D9" s="42"/>
      <c r="E9" s="42"/>
      <c r="F9" s="42"/>
      <c r="G9" s="59">
        <v>1</v>
      </c>
      <c r="H9" s="10">
        <v>1001</v>
      </c>
      <c r="I9" s="11" t="s">
        <v>3</v>
      </c>
      <c r="J9" s="52">
        <f>COUNTIF($K$7:$AO$7,"sun")</f>
        <v>5</v>
      </c>
      <c r="K9" s="53" t="str">
        <f>IF(K$7="sun","WO","")</f>
        <v>WO</v>
      </c>
      <c r="L9" s="53" t="s">
        <v>43</v>
      </c>
      <c r="M9" s="53" t="s">
        <v>41</v>
      </c>
      <c r="N9" s="53" t="s">
        <v>43</v>
      </c>
      <c r="O9" s="53" t="s">
        <v>43</v>
      </c>
      <c r="P9" s="53" t="s">
        <v>43</v>
      </c>
      <c r="Q9" s="53" t="s">
        <v>43</v>
      </c>
      <c r="R9" s="53" t="str">
        <f t="shared" ref="R9:AM17" si="2">IF(R$7="sun","WO","")</f>
        <v>WO</v>
      </c>
      <c r="S9" s="53" t="s">
        <v>43</v>
      </c>
      <c r="T9" s="53" t="s">
        <v>44</v>
      </c>
      <c r="U9" s="53" t="s">
        <v>43</v>
      </c>
      <c r="V9" s="53" t="s">
        <v>43</v>
      </c>
      <c r="W9" s="53" t="s">
        <v>41</v>
      </c>
      <c r="X9" s="53" t="s">
        <v>43</v>
      </c>
      <c r="Y9" s="53" t="str">
        <f t="shared" si="2"/>
        <v>WO</v>
      </c>
      <c r="Z9" s="53" t="s">
        <v>43</v>
      </c>
      <c r="AA9" s="53" t="s">
        <v>43</v>
      </c>
      <c r="AB9" s="53" t="s">
        <v>43</v>
      </c>
      <c r="AC9" s="53" t="s">
        <v>43</v>
      </c>
      <c r="AD9" s="53" t="s">
        <v>41</v>
      </c>
      <c r="AE9" s="53" t="s">
        <v>43</v>
      </c>
      <c r="AF9" s="53" t="str">
        <f t="shared" si="2"/>
        <v>WO</v>
      </c>
      <c r="AG9" s="53" t="s">
        <v>43</v>
      </c>
      <c r="AH9" s="53" t="s">
        <v>43</v>
      </c>
      <c r="AI9" s="53" t="s">
        <v>43</v>
      </c>
      <c r="AJ9" s="53" t="s">
        <v>43</v>
      </c>
      <c r="AK9" s="53" t="s">
        <v>43</v>
      </c>
      <c r="AL9" s="53" t="s">
        <v>41</v>
      </c>
      <c r="AM9" s="53" t="str">
        <f t="shared" si="2"/>
        <v>WO</v>
      </c>
      <c r="AN9" s="53" t="s">
        <v>43</v>
      </c>
      <c r="AO9" s="73"/>
      <c r="AP9" s="42"/>
      <c r="AQ9" s="42"/>
      <c r="AR9" s="3">
        <v>1</v>
      </c>
      <c r="AS9" s="3">
        <v>1001</v>
      </c>
      <c r="AT9" s="3" t="str">
        <f>$I$5</f>
        <v>June</v>
      </c>
      <c r="AU9" s="36" t="s">
        <v>3</v>
      </c>
      <c r="AV9" s="30">
        <f>COUNTIF($K9:$AO9,"P")</f>
        <v>20</v>
      </c>
      <c r="AW9" s="30">
        <f>COUNTIF($K9:$AO9,"A")</f>
        <v>1</v>
      </c>
      <c r="AX9" s="30">
        <f>COUNTIF($K9:$AO9,"L")</f>
        <v>4</v>
      </c>
      <c r="AY9" s="30">
        <f>$J$9</f>
        <v>5</v>
      </c>
      <c r="AZ9" s="30">
        <f>$I$4</f>
        <v>30</v>
      </c>
      <c r="BA9" s="30">
        <f>AZ9-AW9</f>
        <v>29</v>
      </c>
      <c r="BB9" s="31">
        <v>25000</v>
      </c>
      <c r="BC9" s="32">
        <f>BB9/AZ9</f>
        <v>833.33333333333337</v>
      </c>
      <c r="BD9" s="31">
        <f>BC9*AW9</f>
        <v>833.33333333333337</v>
      </c>
      <c r="BE9" s="31">
        <f>BB9-BD9</f>
        <v>24166.666666666668</v>
      </c>
    </row>
    <row r="10" spans="4:59" ht="15.6" x14ac:dyDescent="0.3">
      <c r="D10" s="42"/>
      <c r="E10" s="42"/>
      <c r="F10" s="42"/>
      <c r="G10" s="59">
        <v>2</v>
      </c>
      <c r="H10" s="10">
        <v>1002</v>
      </c>
      <c r="I10" s="11" t="s">
        <v>4</v>
      </c>
      <c r="J10" s="54">
        <f t="shared" ref="J10:J28" si="3">COUNTIF($K$7:$AO$7,"sun")</f>
        <v>5</v>
      </c>
      <c r="K10" s="3" t="str">
        <f t="shared" ref="K10:Y28" si="4">IF(K$7="sun","WO","")</f>
        <v>WO</v>
      </c>
      <c r="L10" s="3" t="s">
        <v>43</v>
      </c>
      <c r="M10" s="53" t="s">
        <v>41</v>
      </c>
      <c r="N10" s="3" t="s">
        <v>43</v>
      </c>
      <c r="O10" s="3" t="s">
        <v>43</v>
      </c>
      <c r="P10" s="3" t="s">
        <v>43</v>
      </c>
      <c r="Q10" s="3" t="s">
        <v>43</v>
      </c>
      <c r="R10" s="3" t="str">
        <f t="shared" si="2"/>
        <v>WO</v>
      </c>
      <c r="S10" s="3" t="s">
        <v>43</v>
      </c>
      <c r="T10" s="3" t="s">
        <v>43</v>
      </c>
      <c r="U10" s="3" t="s">
        <v>43</v>
      </c>
      <c r="V10" s="3" t="s">
        <v>43</v>
      </c>
      <c r="W10" s="53" t="s">
        <v>41</v>
      </c>
      <c r="X10" s="3" t="s">
        <v>43</v>
      </c>
      <c r="Y10" s="3" t="str">
        <f t="shared" si="2"/>
        <v>WO</v>
      </c>
      <c r="Z10" s="3" t="s">
        <v>44</v>
      </c>
      <c r="AA10" s="3" t="s">
        <v>43</v>
      </c>
      <c r="AB10" s="3" t="s">
        <v>44</v>
      </c>
      <c r="AC10" s="3" t="s">
        <v>43</v>
      </c>
      <c r="AD10" s="53" t="s">
        <v>41</v>
      </c>
      <c r="AE10" s="3" t="s">
        <v>43</v>
      </c>
      <c r="AF10" s="3" t="str">
        <f t="shared" si="2"/>
        <v>WO</v>
      </c>
      <c r="AG10" s="3" t="s">
        <v>43</v>
      </c>
      <c r="AH10" s="3" t="s">
        <v>43</v>
      </c>
      <c r="AI10" s="3" t="s">
        <v>43</v>
      </c>
      <c r="AJ10" s="3" t="s">
        <v>43</v>
      </c>
      <c r="AK10" s="3" t="s">
        <v>43</v>
      </c>
      <c r="AL10" s="53" t="s">
        <v>41</v>
      </c>
      <c r="AM10" s="3" t="str">
        <f t="shared" si="2"/>
        <v>WO</v>
      </c>
      <c r="AN10" s="3" t="s">
        <v>43</v>
      </c>
      <c r="AO10" s="36"/>
      <c r="AP10" s="42"/>
      <c r="AQ10" s="42"/>
      <c r="AR10" s="3">
        <v>2</v>
      </c>
      <c r="AS10" s="3">
        <v>1002</v>
      </c>
      <c r="AT10" s="3" t="str">
        <f t="shared" ref="AT10:AT28" si="5">$I$5</f>
        <v>June</v>
      </c>
      <c r="AU10" s="36" t="s">
        <v>4</v>
      </c>
      <c r="AV10">
        <f t="shared" ref="AV10:AV28" si="6">COUNTIF($K10:$AO10,"P")</f>
        <v>19</v>
      </c>
      <c r="AW10">
        <f t="shared" ref="AW10:AW28" si="7">COUNTIF($K10:$AO10,"A")</f>
        <v>2</v>
      </c>
      <c r="AX10">
        <f t="shared" ref="AX10:AX28" si="8">COUNTIF($K10:$AO10,"L")</f>
        <v>4</v>
      </c>
      <c r="AY10">
        <f t="shared" ref="AY10:AY28" si="9">$J$9</f>
        <v>5</v>
      </c>
      <c r="AZ10">
        <f t="shared" ref="AZ10:AZ28" si="10">$I$4</f>
        <v>30</v>
      </c>
      <c r="BA10">
        <f t="shared" ref="BA10:BA28" si="11">AZ10-AW10</f>
        <v>28</v>
      </c>
      <c r="BB10" s="28">
        <v>24000</v>
      </c>
      <c r="BC10" s="29">
        <f t="shared" ref="BC10:BC28" si="12">BB10/AZ10</f>
        <v>800</v>
      </c>
      <c r="BD10" s="28">
        <f t="shared" ref="BD10:BD28" si="13">BC10*AW10</f>
        <v>1600</v>
      </c>
      <c r="BE10" s="28">
        <f t="shared" ref="BE10:BE28" si="14">BB10-BD10</f>
        <v>22400</v>
      </c>
    </row>
    <row r="11" spans="4:59" ht="15.6" x14ac:dyDescent="0.3">
      <c r="D11" s="42"/>
      <c r="E11" s="42"/>
      <c r="F11" s="42"/>
      <c r="G11" s="59">
        <v>3</v>
      </c>
      <c r="H11" s="10">
        <v>1003</v>
      </c>
      <c r="I11" s="11" t="s">
        <v>5</v>
      </c>
      <c r="J11" s="54">
        <f t="shared" si="3"/>
        <v>5</v>
      </c>
      <c r="K11" s="3" t="str">
        <f t="shared" si="4"/>
        <v>WO</v>
      </c>
      <c r="L11" s="3" t="s">
        <v>43</v>
      </c>
      <c r="M11" s="53" t="s">
        <v>41</v>
      </c>
      <c r="N11" s="3" t="s">
        <v>43</v>
      </c>
      <c r="O11" s="3" t="s">
        <v>44</v>
      </c>
      <c r="P11" s="3" t="s">
        <v>43</v>
      </c>
      <c r="Q11" s="3" t="s">
        <v>43</v>
      </c>
      <c r="R11" s="3" t="str">
        <f t="shared" si="2"/>
        <v>WO</v>
      </c>
      <c r="S11" s="3" t="s">
        <v>43</v>
      </c>
      <c r="T11" s="3" t="s">
        <v>43</v>
      </c>
      <c r="U11" s="3" t="s">
        <v>43</v>
      </c>
      <c r="V11" s="3" t="s">
        <v>43</v>
      </c>
      <c r="W11" s="53" t="s">
        <v>41</v>
      </c>
      <c r="X11" s="3" t="s">
        <v>43</v>
      </c>
      <c r="Y11" s="3" t="str">
        <f t="shared" si="2"/>
        <v>WO</v>
      </c>
      <c r="Z11" s="3" t="s">
        <v>43</v>
      </c>
      <c r="AA11" s="3" t="s">
        <v>43</v>
      </c>
      <c r="AB11" s="3" t="s">
        <v>43</v>
      </c>
      <c r="AC11" s="3" t="s">
        <v>43</v>
      </c>
      <c r="AD11" s="53" t="s">
        <v>41</v>
      </c>
      <c r="AE11" s="3" t="s">
        <v>43</v>
      </c>
      <c r="AF11" s="3" t="str">
        <f t="shared" si="2"/>
        <v>WO</v>
      </c>
      <c r="AG11" s="3" t="s">
        <v>43</v>
      </c>
      <c r="AH11" s="3" t="s">
        <v>44</v>
      </c>
      <c r="AI11" s="3" t="s">
        <v>43</v>
      </c>
      <c r="AJ11" s="3" t="s">
        <v>43</v>
      </c>
      <c r="AK11" s="3" t="s">
        <v>43</v>
      </c>
      <c r="AL11" s="53" t="s">
        <v>41</v>
      </c>
      <c r="AM11" s="3" t="str">
        <f t="shared" si="2"/>
        <v>WO</v>
      </c>
      <c r="AN11" s="3" t="s">
        <v>43</v>
      </c>
      <c r="AO11" s="36"/>
      <c r="AP11" s="42"/>
      <c r="AQ11" s="42"/>
      <c r="AR11" s="3">
        <v>3</v>
      </c>
      <c r="AS11" s="3">
        <v>1003</v>
      </c>
      <c r="AT11" s="3" t="str">
        <f t="shared" si="5"/>
        <v>June</v>
      </c>
      <c r="AU11" s="36" t="s">
        <v>5</v>
      </c>
      <c r="AV11">
        <f t="shared" si="6"/>
        <v>19</v>
      </c>
      <c r="AW11">
        <f t="shared" si="7"/>
        <v>2</v>
      </c>
      <c r="AX11">
        <f t="shared" si="8"/>
        <v>4</v>
      </c>
      <c r="AY11">
        <f t="shared" si="9"/>
        <v>5</v>
      </c>
      <c r="AZ11">
        <f t="shared" si="10"/>
        <v>30</v>
      </c>
      <c r="BA11">
        <f t="shared" si="11"/>
        <v>28</v>
      </c>
      <c r="BB11" s="28">
        <v>23000</v>
      </c>
      <c r="BC11" s="29">
        <f t="shared" si="12"/>
        <v>766.66666666666663</v>
      </c>
      <c r="BD11" s="28">
        <f t="shared" si="13"/>
        <v>1533.3333333333333</v>
      </c>
      <c r="BE11" s="28">
        <f t="shared" si="14"/>
        <v>21466.666666666668</v>
      </c>
    </row>
    <row r="12" spans="4:59" ht="15.6" x14ac:dyDescent="0.3">
      <c r="D12" s="42"/>
      <c r="E12" s="42"/>
      <c r="F12" s="42"/>
      <c r="G12" s="59">
        <v>4</v>
      </c>
      <c r="H12" s="10">
        <v>1004</v>
      </c>
      <c r="I12" s="11" t="s">
        <v>6</v>
      </c>
      <c r="J12" s="54">
        <f t="shared" si="3"/>
        <v>5</v>
      </c>
      <c r="K12" s="3" t="str">
        <f t="shared" si="4"/>
        <v>WO</v>
      </c>
      <c r="L12" s="3" t="s">
        <v>43</v>
      </c>
      <c r="M12" s="53" t="s">
        <v>41</v>
      </c>
      <c r="N12" s="3" t="s">
        <v>43</v>
      </c>
      <c r="O12" s="3" t="s">
        <v>43</v>
      </c>
      <c r="P12" s="3" t="s">
        <v>43</v>
      </c>
      <c r="Q12" s="3" t="s">
        <v>43</v>
      </c>
      <c r="R12" s="3" t="str">
        <f t="shared" si="2"/>
        <v>WO</v>
      </c>
      <c r="S12" s="3" t="s">
        <v>44</v>
      </c>
      <c r="T12" s="3" t="s">
        <v>43</v>
      </c>
      <c r="U12" s="3" t="s">
        <v>43</v>
      </c>
      <c r="V12" s="3" t="s">
        <v>43</v>
      </c>
      <c r="W12" s="53" t="s">
        <v>41</v>
      </c>
      <c r="X12" s="3" t="s">
        <v>43</v>
      </c>
      <c r="Y12" s="3" t="str">
        <f t="shared" si="2"/>
        <v>WO</v>
      </c>
      <c r="Z12" s="3" t="s">
        <v>43</v>
      </c>
      <c r="AA12" s="3" t="s">
        <v>43</v>
      </c>
      <c r="AB12" s="3" t="s">
        <v>43</v>
      </c>
      <c r="AC12" s="3" t="s">
        <v>44</v>
      </c>
      <c r="AD12" s="53" t="s">
        <v>41</v>
      </c>
      <c r="AE12" s="3" t="s">
        <v>43</v>
      </c>
      <c r="AF12" s="3" t="str">
        <f t="shared" si="2"/>
        <v>WO</v>
      </c>
      <c r="AG12" s="3" t="s">
        <v>43</v>
      </c>
      <c r="AH12" s="3" t="s">
        <v>43</v>
      </c>
      <c r="AI12" s="3" t="s">
        <v>43</v>
      </c>
      <c r="AJ12" s="3" t="s">
        <v>44</v>
      </c>
      <c r="AK12" s="3" t="s">
        <v>43</v>
      </c>
      <c r="AL12" s="53" t="s">
        <v>41</v>
      </c>
      <c r="AM12" s="3" t="str">
        <f t="shared" si="2"/>
        <v>WO</v>
      </c>
      <c r="AN12" s="3" t="s">
        <v>43</v>
      </c>
      <c r="AO12" s="36"/>
      <c r="AP12" s="42"/>
      <c r="AQ12" s="42"/>
      <c r="AR12" s="3">
        <v>4</v>
      </c>
      <c r="AS12" s="3">
        <v>1004</v>
      </c>
      <c r="AT12" s="3" t="str">
        <f t="shared" si="5"/>
        <v>June</v>
      </c>
      <c r="AU12" s="36" t="s">
        <v>6</v>
      </c>
      <c r="AV12">
        <f t="shared" si="6"/>
        <v>18</v>
      </c>
      <c r="AW12">
        <f t="shared" si="7"/>
        <v>3</v>
      </c>
      <c r="AX12">
        <f t="shared" si="8"/>
        <v>4</v>
      </c>
      <c r="AY12">
        <f t="shared" si="9"/>
        <v>5</v>
      </c>
      <c r="AZ12">
        <f t="shared" si="10"/>
        <v>30</v>
      </c>
      <c r="BA12">
        <f t="shared" si="11"/>
        <v>27</v>
      </c>
      <c r="BB12" s="28">
        <v>25000</v>
      </c>
      <c r="BC12" s="29">
        <f t="shared" si="12"/>
        <v>833.33333333333337</v>
      </c>
      <c r="BD12" s="28">
        <f t="shared" si="13"/>
        <v>2500</v>
      </c>
      <c r="BE12" s="28">
        <f t="shared" si="14"/>
        <v>22500</v>
      </c>
    </row>
    <row r="13" spans="4:59" ht="15.6" x14ac:dyDescent="0.3">
      <c r="D13" s="42"/>
      <c r="E13" s="42"/>
      <c r="F13" s="42"/>
      <c r="G13" s="59">
        <v>5</v>
      </c>
      <c r="H13" s="10">
        <v>1005</v>
      </c>
      <c r="I13" s="11" t="s">
        <v>7</v>
      </c>
      <c r="J13" s="54">
        <f t="shared" si="3"/>
        <v>5</v>
      </c>
      <c r="K13" s="3" t="str">
        <f t="shared" si="4"/>
        <v>WO</v>
      </c>
      <c r="L13" s="3" t="s">
        <v>43</v>
      </c>
      <c r="M13" s="53" t="s">
        <v>41</v>
      </c>
      <c r="N13" s="3" t="s">
        <v>44</v>
      </c>
      <c r="O13" s="3" t="s">
        <v>43</v>
      </c>
      <c r="P13" s="3" t="s">
        <v>43</v>
      </c>
      <c r="Q13" s="3" t="s">
        <v>43</v>
      </c>
      <c r="R13" s="3" t="str">
        <f t="shared" si="2"/>
        <v>WO</v>
      </c>
      <c r="S13" s="3" t="s">
        <v>43</v>
      </c>
      <c r="T13" s="3" t="s">
        <v>43</v>
      </c>
      <c r="U13" s="3" t="s">
        <v>43</v>
      </c>
      <c r="V13" s="3" t="s">
        <v>44</v>
      </c>
      <c r="W13" s="53" t="s">
        <v>41</v>
      </c>
      <c r="X13" s="3" t="s">
        <v>43</v>
      </c>
      <c r="Y13" s="3" t="str">
        <f t="shared" si="2"/>
        <v>WO</v>
      </c>
      <c r="Z13" s="3" t="s">
        <v>43</v>
      </c>
      <c r="AA13" s="3" t="s">
        <v>43</v>
      </c>
      <c r="AB13" s="3" t="s">
        <v>43</v>
      </c>
      <c r="AC13" s="3" t="s">
        <v>43</v>
      </c>
      <c r="AD13" s="53" t="s">
        <v>41</v>
      </c>
      <c r="AE13" s="3" t="s">
        <v>43</v>
      </c>
      <c r="AF13" s="3" t="str">
        <f t="shared" si="2"/>
        <v>WO</v>
      </c>
      <c r="AG13" s="3" t="s">
        <v>43</v>
      </c>
      <c r="AH13" s="3" t="s">
        <v>43</v>
      </c>
      <c r="AI13" s="3" t="s">
        <v>43</v>
      </c>
      <c r="AJ13" s="3" t="s">
        <v>43</v>
      </c>
      <c r="AK13" s="3" t="s">
        <v>43</v>
      </c>
      <c r="AL13" s="53" t="s">
        <v>41</v>
      </c>
      <c r="AM13" s="3" t="str">
        <f t="shared" si="2"/>
        <v>WO</v>
      </c>
      <c r="AN13" s="3" t="s">
        <v>44</v>
      </c>
      <c r="AO13" s="36"/>
      <c r="AP13" s="42"/>
      <c r="AQ13" s="42"/>
      <c r="AR13" s="3">
        <v>5</v>
      </c>
      <c r="AS13" s="3">
        <v>1005</v>
      </c>
      <c r="AT13" s="3" t="str">
        <f t="shared" si="5"/>
        <v>June</v>
      </c>
      <c r="AU13" s="36" t="s">
        <v>7</v>
      </c>
      <c r="AV13">
        <f t="shared" si="6"/>
        <v>18</v>
      </c>
      <c r="AW13">
        <f t="shared" si="7"/>
        <v>3</v>
      </c>
      <c r="AX13">
        <f t="shared" si="8"/>
        <v>4</v>
      </c>
      <c r="AY13">
        <f t="shared" si="9"/>
        <v>5</v>
      </c>
      <c r="AZ13">
        <f t="shared" si="10"/>
        <v>30</v>
      </c>
      <c r="BA13">
        <f t="shared" si="11"/>
        <v>27</v>
      </c>
      <c r="BB13" s="28">
        <v>26000</v>
      </c>
      <c r="BC13" s="29">
        <f t="shared" si="12"/>
        <v>866.66666666666663</v>
      </c>
      <c r="BD13" s="28">
        <f t="shared" si="13"/>
        <v>2600</v>
      </c>
      <c r="BE13" s="28">
        <f t="shared" si="14"/>
        <v>23400</v>
      </c>
    </row>
    <row r="14" spans="4:59" ht="15.6" x14ac:dyDescent="0.3">
      <c r="D14" s="42"/>
      <c r="E14" s="42"/>
      <c r="F14" s="42"/>
      <c r="G14" s="59">
        <v>6</v>
      </c>
      <c r="H14" s="10">
        <v>1006</v>
      </c>
      <c r="I14" s="11" t="s">
        <v>8</v>
      </c>
      <c r="J14" s="54">
        <f t="shared" si="3"/>
        <v>5</v>
      </c>
      <c r="K14" s="3" t="str">
        <f t="shared" si="4"/>
        <v>WO</v>
      </c>
      <c r="L14" s="3" t="s">
        <v>43</v>
      </c>
      <c r="M14" s="53" t="s">
        <v>41</v>
      </c>
      <c r="N14" s="3" t="s">
        <v>43</v>
      </c>
      <c r="O14" s="3" t="s">
        <v>43</v>
      </c>
      <c r="P14" s="3" t="s">
        <v>43</v>
      </c>
      <c r="Q14" s="3" t="s">
        <v>43</v>
      </c>
      <c r="R14" s="3" t="str">
        <f t="shared" si="2"/>
        <v>WO</v>
      </c>
      <c r="S14" s="3" t="s">
        <v>43</v>
      </c>
      <c r="T14" s="3" t="s">
        <v>43</v>
      </c>
      <c r="U14" s="3" t="s">
        <v>43</v>
      </c>
      <c r="V14" s="3" t="s">
        <v>43</v>
      </c>
      <c r="W14" s="53" t="s">
        <v>41</v>
      </c>
      <c r="X14" s="3" t="s">
        <v>43</v>
      </c>
      <c r="Y14" s="3" t="str">
        <f t="shared" si="2"/>
        <v>WO</v>
      </c>
      <c r="Z14" s="3" t="s">
        <v>43</v>
      </c>
      <c r="AA14" s="3" t="s">
        <v>43</v>
      </c>
      <c r="AB14" s="3" t="s">
        <v>43</v>
      </c>
      <c r="AC14" s="3" t="s">
        <v>43</v>
      </c>
      <c r="AD14" s="53" t="s">
        <v>41</v>
      </c>
      <c r="AE14" s="3" t="s">
        <v>43</v>
      </c>
      <c r="AF14" s="3" t="str">
        <f t="shared" si="2"/>
        <v>WO</v>
      </c>
      <c r="AG14" s="3" t="s">
        <v>43</v>
      </c>
      <c r="AH14" s="3" t="s">
        <v>43</v>
      </c>
      <c r="AI14" s="3" t="s">
        <v>43</v>
      </c>
      <c r="AJ14" s="3" t="s">
        <v>43</v>
      </c>
      <c r="AK14" s="3" t="s">
        <v>43</v>
      </c>
      <c r="AL14" s="53" t="s">
        <v>41</v>
      </c>
      <c r="AM14" s="3" t="str">
        <f t="shared" si="2"/>
        <v>WO</v>
      </c>
      <c r="AN14" s="3" t="s">
        <v>43</v>
      </c>
      <c r="AO14" s="36"/>
      <c r="AP14" s="42"/>
      <c r="AQ14" s="42"/>
      <c r="AR14" s="3">
        <v>6</v>
      </c>
      <c r="AS14" s="3">
        <v>1006</v>
      </c>
      <c r="AT14" s="3" t="str">
        <f t="shared" si="5"/>
        <v>June</v>
      </c>
      <c r="AU14" s="36" t="s">
        <v>8</v>
      </c>
      <c r="AV14">
        <f t="shared" si="6"/>
        <v>21</v>
      </c>
      <c r="AW14">
        <f t="shared" si="7"/>
        <v>0</v>
      </c>
      <c r="AX14">
        <f t="shared" si="8"/>
        <v>4</v>
      </c>
      <c r="AY14">
        <f t="shared" si="9"/>
        <v>5</v>
      </c>
      <c r="AZ14">
        <f t="shared" si="10"/>
        <v>30</v>
      </c>
      <c r="BA14">
        <f t="shared" si="11"/>
        <v>30</v>
      </c>
      <c r="BB14" s="28">
        <v>31000</v>
      </c>
      <c r="BC14" s="29">
        <f t="shared" si="12"/>
        <v>1033.3333333333333</v>
      </c>
      <c r="BD14" s="28">
        <f t="shared" si="13"/>
        <v>0</v>
      </c>
      <c r="BE14" s="28">
        <f t="shared" si="14"/>
        <v>31000</v>
      </c>
    </row>
    <row r="15" spans="4:59" ht="15.6" x14ac:dyDescent="0.3">
      <c r="D15" s="42"/>
      <c r="E15" s="42"/>
      <c r="F15" s="42"/>
      <c r="G15" s="59">
        <v>7</v>
      </c>
      <c r="H15" s="10">
        <v>1007</v>
      </c>
      <c r="I15" s="11" t="s">
        <v>9</v>
      </c>
      <c r="J15" s="54">
        <f t="shared" si="3"/>
        <v>5</v>
      </c>
      <c r="K15" s="3" t="str">
        <f t="shared" si="4"/>
        <v>WO</v>
      </c>
      <c r="L15" s="3" t="s">
        <v>43</v>
      </c>
      <c r="M15" s="53" t="s">
        <v>41</v>
      </c>
      <c r="N15" s="3" t="s">
        <v>43</v>
      </c>
      <c r="O15" s="3" t="s">
        <v>43</v>
      </c>
      <c r="P15" s="3" t="s">
        <v>43</v>
      </c>
      <c r="Q15" s="3" t="s">
        <v>44</v>
      </c>
      <c r="R15" s="3" t="str">
        <f t="shared" si="2"/>
        <v>WO</v>
      </c>
      <c r="S15" s="3" t="s">
        <v>43</v>
      </c>
      <c r="T15" s="3" t="s">
        <v>43</v>
      </c>
      <c r="U15" s="3" t="s">
        <v>43</v>
      </c>
      <c r="V15" s="3" t="s">
        <v>43</v>
      </c>
      <c r="W15" s="53" t="s">
        <v>41</v>
      </c>
      <c r="X15" s="3" t="s">
        <v>43</v>
      </c>
      <c r="Y15" s="3" t="str">
        <f t="shared" si="2"/>
        <v>WO</v>
      </c>
      <c r="Z15" s="3" t="s">
        <v>43</v>
      </c>
      <c r="AA15" s="3" t="s">
        <v>44</v>
      </c>
      <c r="AB15" s="3" t="s">
        <v>43</v>
      </c>
      <c r="AC15" s="3" t="s">
        <v>43</v>
      </c>
      <c r="AD15" s="53" t="s">
        <v>41</v>
      </c>
      <c r="AE15" s="3" t="s">
        <v>43</v>
      </c>
      <c r="AF15" s="3" t="str">
        <f t="shared" si="2"/>
        <v>WO</v>
      </c>
      <c r="AG15" s="3" t="s">
        <v>44</v>
      </c>
      <c r="AH15" s="3" t="s">
        <v>43</v>
      </c>
      <c r="AI15" s="3" t="s">
        <v>43</v>
      </c>
      <c r="AJ15" s="3" t="s">
        <v>43</v>
      </c>
      <c r="AK15" s="3" t="s">
        <v>44</v>
      </c>
      <c r="AL15" s="53" t="s">
        <v>41</v>
      </c>
      <c r="AM15" s="3" t="str">
        <f t="shared" si="2"/>
        <v>WO</v>
      </c>
      <c r="AN15" s="3" t="s">
        <v>43</v>
      </c>
      <c r="AO15" s="36"/>
      <c r="AP15" s="42"/>
      <c r="AQ15" s="42"/>
      <c r="AR15" s="3">
        <v>7</v>
      </c>
      <c r="AS15" s="3">
        <v>1007</v>
      </c>
      <c r="AT15" s="3" t="str">
        <f t="shared" si="5"/>
        <v>June</v>
      </c>
      <c r="AU15" s="36" t="s">
        <v>9</v>
      </c>
      <c r="AV15">
        <f t="shared" si="6"/>
        <v>17</v>
      </c>
      <c r="AW15">
        <f t="shared" si="7"/>
        <v>4</v>
      </c>
      <c r="AX15">
        <f t="shared" si="8"/>
        <v>4</v>
      </c>
      <c r="AY15">
        <f t="shared" si="9"/>
        <v>5</v>
      </c>
      <c r="AZ15">
        <f t="shared" si="10"/>
        <v>30</v>
      </c>
      <c r="BA15">
        <f t="shared" si="11"/>
        <v>26</v>
      </c>
      <c r="BB15" s="28">
        <v>28000</v>
      </c>
      <c r="BC15" s="29">
        <f t="shared" si="12"/>
        <v>933.33333333333337</v>
      </c>
      <c r="BD15" s="28">
        <f t="shared" si="13"/>
        <v>3733.3333333333335</v>
      </c>
      <c r="BE15" s="28">
        <f t="shared" si="14"/>
        <v>24266.666666666668</v>
      </c>
    </row>
    <row r="16" spans="4:59" ht="15.6" x14ac:dyDescent="0.3">
      <c r="D16" s="42"/>
      <c r="E16" s="42"/>
      <c r="F16" s="42"/>
      <c r="G16" s="59">
        <v>8</v>
      </c>
      <c r="H16" s="10">
        <v>1008</v>
      </c>
      <c r="I16" s="11" t="s">
        <v>10</v>
      </c>
      <c r="J16" s="54">
        <f t="shared" si="3"/>
        <v>5</v>
      </c>
      <c r="K16" s="3" t="str">
        <f t="shared" si="4"/>
        <v>WO</v>
      </c>
      <c r="L16" s="3" t="s">
        <v>43</v>
      </c>
      <c r="M16" s="53" t="s">
        <v>41</v>
      </c>
      <c r="N16" s="3" t="s">
        <v>43</v>
      </c>
      <c r="O16" s="3" t="s">
        <v>43</v>
      </c>
      <c r="P16" s="3" t="s">
        <v>43</v>
      </c>
      <c r="Q16" s="3" t="s">
        <v>43</v>
      </c>
      <c r="R16" s="3" t="str">
        <f t="shared" si="2"/>
        <v>WO</v>
      </c>
      <c r="S16" s="3" t="s">
        <v>43</v>
      </c>
      <c r="T16" s="3" t="s">
        <v>43</v>
      </c>
      <c r="U16" s="3" t="s">
        <v>43</v>
      </c>
      <c r="V16" s="3" t="s">
        <v>43</v>
      </c>
      <c r="W16" s="53" t="s">
        <v>41</v>
      </c>
      <c r="X16" s="3" t="s">
        <v>43</v>
      </c>
      <c r="Y16" s="3" t="str">
        <f t="shared" si="2"/>
        <v>WO</v>
      </c>
      <c r="Z16" s="3" t="s">
        <v>43</v>
      </c>
      <c r="AA16" s="3" t="s">
        <v>43</v>
      </c>
      <c r="AB16" s="3" t="s">
        <v>43</v>
      </c>
      <c r="AC16" s="3" t="s">
        <v>43</v>
      </c>
      <c r="AD16" s="53" t="s">
        <v>41</v>
      </c>
      <c r="AE16" s="3" t="s">
        <v>43</v>
      </c>
      <c r="AF16" s="3" t="str">
        <f t="shared" si="2"/>
        <v>WO</v>
      </c>
      <c r="AG16" s="3" t="s">
        <v>43</v>
      </c>
      <c r="AH16" s="3" t="s">
        <v>43</v>
      </c>
      <c r="AI16" s="3" t="s">
        <v>44</v>
      </c>
      <c r="AJ16" s="3" t="s">
        <v>43</v>
      </c>
      <c r="AK16" s="3" t="s">
        <v>43</v>
      </c>
      <c r="AL16" s="53" t="s">
        <v>41</v>
      </c>
      <c r="AM16" s="3" t="str">
        <f t="shared" si="2"/>
        <v>WO</v>
      </c>
      <c r="AN16" s="3" t="s">
        <v>43</v>
      </c>
      <c r="AO16" s="36"/>
      <c r="AP16" s="42"/>
      <c r="AQ16" s="42"/>
      <c r="AR16" s="3">
        <v>8</v>
      </c>
      <c r="AS16" s="3">
        <v>1008</v>
      </c>
      <c r="AT16" s="3" t="str">
        <f t="shared" si="5"/>
        <v>June</v>
      </c>
      <c r="AU16" s="36" t="s">
        <v>10</v>
      </c>
      <c r="AV16">
        <f t="shared" si="6"/>
        <v>20</v>
      </c>
      <c r="AW16">
        <f t="shared" si="7"/>
        <v>1</v>
      </c>
      <c r="AX16">
        <f t="shared" si="8"/>
        <v>4</v>
      </c>
      <c r="AY16">
        <f t="shared" si="9"/>
        <v>5</v>
      </c>
      <c r="AZ16">
        <f t="shared" si="10"/>
        <v>30</v>
      </c>
      <c r="BA16">
        <f t="shared" si="11"/>
        <v>29</v>
      </c>
      <c r="BB16" s="28">
        <v>29000</v>
      </c>
      <c r="BC16" s="29">
        <f t="shared" si="12"/>
        <v>966.66666666666663</v>
      </c>
      <c r="BD16" s="28">
        <f t="shared" si="13"/>
        <v>966.66666666666663</v>
      </c>
      <c r="BE16" s="28">
        <f t="shared" si="14"/>
        <v>28033.333333333332</v>
      </c>
    </row>
    <row r="17" spans="4:59" ht="15.6" x14ac:dyDescent="0.3">
      <c r="D17" s="42"/>
      <c r="E17" s="42"/>
      <c r="F17" s="42"/>
      <c r="G17" s="59">
        <v>9</v>
      </c>
      <c r="H17" s="10">
        <v>1009</v>
      </c>
      <c r="I17" s="11" t="s">
        <v>11</v>
      </c>
      <c r="J17" s="54">
        <f t="shared" si="3"/>
        <v>5</v>
      </c>
      <c r="K17" s="3" t="str">
        <f t="shared" si="4"/>
        <v>WO</v>
      </c>
      <c r="L17" s="3" t="s">
        <v>43</v>
      </c>
      <c r="M17" s="53" t="s">
        <v>41</v>
      </c>
      <c r="N17" s="3" t="s">
        <v>44</v>
      </c>
      <c r="O17" s="3" t="s">
        <v>43</v>
      </c>
      <c r="P17" s="3" t="s">
        <v>43</v>
      </c>
      <c r="Q17" s="3" t="s">
        <v>43</v>
      </c>
      <c r="R17" s="3" t="str">
        <f t="shared" si="2"/>
        <v>WO</v>
      </c>
      <c r="S17" s="3" t="s">
        <v>43</v>
      </c>
      <c r="T17" s="3" t="s">
        <v>43</v>
      </c>
      <c r="U17" s="3" t="s">
        <v>43</v>
      </c>
      <c r="V17" s="3" t="s">
        <v>43</v>
      </c>
      <c r="W17" s="53" t="s">
        <v>41</v>
      </c>
      <c r="X17" s="3" t="s">
        <v>43</v>
      </c>
      <c r="Y17" s="3" t="str">
        <f t="shared" si="2"/>
        <v>WO</v>
      </c>
      <c r="Z17" s="3" t="s">
        <v>43</v>
      </c>
      <c r="AA17" s="3" t="s">
        <v>43</v>
      </c>
      <c r="AB17" s="3" t="s">
        <v>43</v>
      </c>
      <c r="AC17" s="3" t="s">
        <v>44</v>
      </c>
      <c r="AD17" s="53" t="s">
        <v>41</v>
      </c>
      <c r="AE17" s="3" t="s">
        <v>43</v>
      </c>
      <c r="AF17" s="3" t="str">
        <f t="shared" ref="AF17:AM28" si="15">IF(AF$7="sun","WO","")</f>
        <v>WO</v>
      </c>
      <c r="AG17" s="3" t="s">
        <v>43</v>
      </c>
      <c r="AH17" s="3" t="s">
        <v>43</v>
      </c>
      <c r="AI17" s="3" t="s">
        <v>43</v>
      </c>
      <c r="AJ17" s="3" t="s">
        <v>43</v>
      </c>
      <c r="AK17" s="3" t="s">
        <v>43</v>
      </c>
      <c r="AL17" s="53" t="s">
        <v>41</v>
      </c>
      <c r="AM17" s="3" t="str">
        <f t="shared" si="15"/>
        <v>WO</v>
      </c>
      <c r="AN17" s="3" t="s">
        <v>43</v>
      </c>
      <c r="AO17" s="36"/>
      <c r="AP17" s="42"/>
      <c r="AQ17" s="42"/>
      <c r="AR17" s="3">
        <v>9</v>
      </c>
      <c r="AS17" s="3">
        <v>1009</v>
      </c>
      <c r="AT17" s="3" t="str">
        <f t="shared" si="5"/>
        <v>June</v>
      </c>
      <c r="AU17" s="36" t="s">
        <v>11</v>
      </c>
      <c r="AV17">
        <f t="shared" si="6"/>
        <v>19</v>
      </c>
      <c r="AW17">
        <f t="shared" si="7"/>
        <v>2</v>
      </c>
      <c r="AX17">
        <f t="shared" si="8"/>
        <v>4</v>
      </c>
      <c r="AY17">
        <f t="shared" si="9"/>
        <v>5</v>
      </c>
      <c r="AZ17">
        <f t="shared" si="10"/>
        <v>30</v>
      </c>
      <c r="BA17">
        <f t="shared" si="11"/>
        <v>28</v>
      </c>
      <c r="BB17" s="28">
        <v>32000</v>
      </c>
      <c r="BC17" s="29">
        <f t="shared" si="12"/>
        <v>1066.6666666666667</v>
      </c>
      <c r="BD17" s="28">
        <f t="shared" si="13"/>
        <v>2133.3333333333335</v>
      </c>
      <c r="BE17" s="28">
        <f t="shared" si="14"/>
        <v>29866.666666666668</v>
      </c>
    </row>
    <row r="18" spans="4:59" ht="15.6" x14ac:dyDescent="0.3">
      <c r="D18" s="42"/>
      <c r="E18" s="42"/>
      <c r="F18" s="42"/>
      <c r="G18" s="59">
        <v>10</v>
      </c>
      <c r="H18" s="10">
        <v>1010</v>
      </c>
      <c r="I18" s="11" t="s">
        <v>12</v>
      </c>
      <c r="J18" s="54">
        <f t="shared" si="3"/>
        <v>5</v>
      </c>
      <c r="K18" s="3" t="str">
        <f t="shared" si="4"/>
        <v>WO</v>
      </c>
      <c r="L18" s="3" t="s">
        <v>43</v>
      </c>
      <c r="M18" s="53" t="s">
        <v>41</v>
      </c>
      <c r="N18" s="3" t="s">
        <v>43</v>
      </c>
      <c r="O18" s="3" t="s">
        <v>43</v>
      </c>
      <c r="P18" s="3" t="s">
        <v>43</v>
      </c>
      <c r="Q18" s="3" t="s">
        <v>43</v>
      </c>
      <c r="R18" s="3" t="str">
        <f t="shared" si="4"/>
        <v>WO</v>
      </c>
      <c r="S18" s="3" t="s">
        <v>44</v>
      </c>
      <c r="T18" s="3" t="s">
        <v>44</v>
      </c>
      <c r="U18" s="3" t="s">
        <v>43</v>
      </c>
      <c r="V18" s="3" t="s">
        <v>43</v>
      </c>
      <c r="W18" s="53" t="s">
        <v>41</v>
      </c>
      <c r="X18" s="3" t="s">
        <v>43</v>
      </c>
      <c r="Y18" s="3" t="str">
        <f t="shared" si="4"/>
        <v>WO</v>
      </c>
      <c r="Z18" s="3" t="s">
        <v>43</v>
      </c>
      <c r="AA18" s="3" t="s">
        <v>43</v>
      </c>
      <c r="AB18" s="3" t="s">
        <v>43</v>
      </c>
      <c r="AC18" s="3" t="s">
        <v>43</v>
      </c>
      <c r="AD18" s="53" t="s">
        <v>41</v>
      </c>
      <c r="AE18" s="3" t="s">
        <v>43</v>
      </c>
      <c r="AF18" s="3" t="str">
        <f t="shared" si="15"/>
        <v>WO</v>
      </c>
      <c r="AG18" s="3" t="s">
        <v>43</v>
      </c>
      <c r="AH18" s="3" t="s">
        <v>43</v>
      </c>
      <c r="AI18" s="3" t="s">
        <v>43</v>
      </c>
      <c r="AJ18" s="3" t="s">
        <v>43</v>
      </c>
      <c r="AK18" s="3" t="s">
        <v>43</v>
      </c>
      <c r="AL18" s="53" t="s">
        <v>41</v>
      </c>
      <c r="AM18" s="3" t="str">
        <f t="shared" si="15"/>
        <v>WO</v>
      </c>
      <c r="AN18" s="3" t="s">
        <v>43</v>
      </c>
      <c r="AO18" s="36"/>
      <c r="AP18" s="42"/>
      <c r="AQ18" s="42"/>
      <c r="AR18" s="3">
        <v>10</v>
      </c>
      <c r="AS18" s="3">
        <v>1010</v>
      </c>
      <c r="AT18" s="3" t="str">
        <f t="shared" si="5"/>
        <v>June</v>
      </c>
      <c r="AU18" s="36" t="s">
        <v>12</v>
      </c>
      <c r="AV18">
        <f t="shared" si="6"/>
        <v>19</v>
      </c>
      <c r="AW18">
        <f t="shared" si="7"/>
        <v>2</v>
      </c>
      <c r="AX18">
        <f t="shared" si="8"/>
        <v>4</v>
      </c>
      <c r="AY18">
        <f t="shared" si="9"/>
        <v>5</v>
      </c>
      <c r="AZ18">
        <f t="shared" si="10"/>
        <v>30</v>
      </c>
      <c r="BA18">
        <f t="shared" si="11"/>
        <v>28</v>
      </c>
      <c r="BB18" s="28">
        <v>35000</v>
      </c>
      <c r="BC18" s="29">
        <f t="shared" si="12"/>
        <v>1166.6666666666667</v>
      </c>
      <c r="BD18" s="28">
        <f t="shared" si="13"/>
        <v>2333.3333333333335</v>
      </c>
      <c r="BE18" s="28">
        <f t="shared" si="14"/>
        <v>32666.666666666668</v>
      </c>
    </row>
    <row r="19" spans="4:59" ht="15.6" x14ac:dyDescent="0.3">
      <c r="D19" s="42"/>
      <c r="E19" s="42"/>
      <c r="F19" s="42"/>
      <c r="G19" s="59">
        <v>11</v>
      </c>
      <c r="H19" s="10">
        <v>1011</v>
      </c>
      <c r="I19" s="11" t="s">
        <v>13</v>
      </c>
      <c r="J19" s="54">
        <f t="shared" si="3"/>
        <v>5</v>
      </c>
      <c r="K19" s="3" t="str">
        <f t="shared" si="4"/>
        <v>WO</v>
      </c>
      <c r="L19" s="3" t="s">
        <v>43</v>
      </c>
      <c r="M19" s="53" t="s">
        <v>41</v>
      </c>
      <c r="N19" s="3" t="s">
        <v>43</v>
      </c>
      <c r="O19" s="3" t="s">
        <v>43</v>
      </c>
      <c r="P19" s="3" t="s">
        <v>43</v>
      </c>
      <c r="Q19" s="3" t="s">
        <v>43</v>
      </c>
      <c r="R19" s="3" t="str">
        <f t="shared" si="4"/>
        <v>WO</v>
      </c>
      <c r="S19" s="3" t="s">
        <v>43</v>
      </c>
      <c r="T19" s="3" t="s">
        <v>43</v>
      </c>
      <c r="U19" s="3" t="s">
        <v>43</v>
      </c>
      <c r="V19" s="3" t="s">
        <v>43</v>
      </c>
      <c r="W19" s="53" t="s">
        <v>41</v>
      </c>
      <c r="X19" s="3" t="s">
        <v>43</v>
      </c>
      <c r="Y19" s="3" t="str">
        <f t="shared" si="4"/>
        <v>WO</v>
      </c>
      <c r="Z19" s="3" t="s">
        <v>43</v>
      </c>
      <c r="AA19" s="3" t="s">
        <v>43</v>
      </c>
      <c r="AB19" s="3" t="s">
        <v>44</v>
      </c>
      <c r="AC19" s="3" t="s">
        <v>43</v>
      </c>
      <c r="AD19" s="53" t="s">
        <v>41</v>
      </c>
      <c r="AE19" s="3" t="s">
        <v>43</v>
      </c>
      <c r="AF19" s="3" t="str">
        <f t="shared" si="15"/>
        <v>WO</v>
      </c>
      <c r="AG19" s="3" t="s">
        <v>43</v>
      </c>
      <c r="AH19" s="3" t="s">
        <v>43</v>
      </c>
      <c r="AI19" s="3" t="s">
        <v>44</v>
      </c>
      <c r="AJ19" s="3" t="s">
        <v>43</v>
      </c>
      <c r="AK19" s="3" t="s">
        <v>43</v>
      </c>
      <c r="AL19" s="53" t="s">
        <v>41</v>
      </c>
      <c r="AM19" s="3" t="str">
        <f t="shared" si="15"/>
        <v>WO</v>
      </c>
      <c r="AN19" s="3" t="s">
        <v>43</v>
      </c>
      <c r="AO19" s="36"/>
      <c r="AP19" s="42"/>
      <c r="AQ19" s="42"/>
      <c r="AR19" s="3">
        <v>11</v>
      </c>
      <c r="AS19" s="3">
        <v>1011</v>
      </c>
      <c r="AT19" s="3" t="str">
        <f t="shared" si="5"/>
        <v>June</v>
      </c>
      <c r="AU19" s="36" t="s">
        <v>13</v>
      </c>
      <c r="AV19">
        <f t="shared" si="6"/>
        <v>19</v>
      </c>
      <c r="AW19">
        <f t="shared" si="7"/>
        <v>2</v>
      </c>
      <c r="AX19">
        <f t="shared" si="8"/>
        <v>4</v>
      </c>
      <c r="AY19">
        <f t="shared" si="9"/>
        <v>5</v>
      </c>
      <c r="AZ19">
        <f t="shared" si="10"/>
        <v>30</v>
      </c>
      <c r="BA19">
        <f t="shared" si="11"/>
        <v>28</v>
      </c>
      <c r="BB19" s="28">
        <v>50000</v>
      </c>
      <c r="BC19" s="29">
        <f t="shared" si="12"/>
        <v>1666.6666666666667</v>
      </c>
      <c r="BD19" s="28">
        <f t="shared" si="13"/>
        <v>3333.3333333333335</v>
      </c>
      <c r="BE19" s="28">
        <f t="shared" si="14"/>
        <v>46666.666666666664</v>
      </c>
    </row>
    <row r="20" spans="4:59" ht="15.6" x14ac:dyDescent="0.3">
      <c r="D20" s="42"/>
      <c r="E20" s="42"/>
      <c r="F20" s="42"/>
      <c r="G20" s="59">
        <v>12</v>
      </c>
      <c r="H20" s="10">
        <v>1012</v>
      </c>
      <c r="I20" s="11" t="s">
        <v>14</v>
      </c>
      <c r="J20" s="54">
        <f t="shared" si="3"/>
        <v>5</v>
      </c>
      <c r="K20" s="3" t="str">
        <f t="shared" si="4"/>
        <v>WO</v>
      </c>
      <c r="L20" s="3" t="s">
        <v>43</v>
      </c>
      <c r="M20" s="53" t="s">
        <v>41</v>
      </c>
      <c r="N20" s="3" t="s">
        <v>43</v>
      </c>
      <c r="O20" s="3" t="s">
        <v>43</v>
      </c>
      <c r="P20" s="3" t="s">
        <v>43</v>
      </c>
      <c r="Q20" s="3" t="s">
        <v>43</v>
      </c>
      <c r="R20" s="3" t="str">
        <f t="shared" si="4"/>
        <v>WO</v>
      </c>
      <c r="S20" s="3" t="s">
        <v>43</v>
      </c>
      <c r="T20" s="3" t="s">
        <v>43</v>
      </c>
      <c r="U20" s="3" t="s">
        <v>43</v>
      </c>
      <c r="V20" s="3" t="s">
        <v>44</v>
      </c>
      <c r="W20" s="53" t="s">
        <v>41</v>
      </c>
      <c r="X20" s="3" t="s">
        <v>43</v>
      </c>
      <c r="Y20" s="3" t="str">
        <f t="shared" si="4"/>
        <v>WO</v>
      </c>
      <c r="Z20" s="3" t="s">
        <v>43</v>
      </c>
      <c r="AA20" s="3" t="s">
        <v>43</v>
      </c>
      <c r="AB20" s="3" t="s">
        <v>43</v>
      </c>
      <c r="AC20" s="3" t="s">
        <v>43</v>
      </c>
      <c r="AD20" s="53" t="s">
        <v>41</v>
      </c>
      <c r="AE20" s="3" t="s">
        <v>43</v>
      </c>
      <c r="AF20" s="3" t="str">
        <f t="shared" si="15"/>
        <v>WO</v>
      </c>
      <c r="AG20" s="3" t="s">
        <v>43</v>
      </c>
      <c r="AH20" s="3" t="s">
        <v>43</v>
      </c>
      <c r="AI20" s="3" t="s">
        <v>43</v>
      </c>
      <c r="AJ20" s="3" t="s">
        <v>43</v>
      </c>
      <c r="AK20" s="3" t="s">
        <v>43</v>
      </c>
      <c r="AL20" s="53" t="s">
        <v>41</v>
      </c>
      <c r="AM20" s="3" t="str">
        <f t="shared" si="15"/>
        <v>WO</v>
      </c>
      <c r="AN20" s="3" t="s">
        <v>43</v>
      </c>
      <c r="AO20" s="36"/>
      <c r="AP20" s="42"/>
      <c r="AQ20" s="42"/>
      <c r="AR20" s="3">
        <v>12</v>
      </c>
      <c r="AS20" s="3">
        <v>1012</v>
      </c>
      <c r="AT20" s="3" t="str">
        <f t="shared" si="5"/>
        <v>June</v>
      </c>
      <c r="AU20" s="36" t="s">
        <v>14</v>
      </c>
      <c r="AV20">
        <f t="shared" si="6"/>
        <v>20</v>
      </c>
      <c r="AW20">
        <f t="shared" si="7"/>
        <v>1</v>
      </c>
      <c r="AX20">
        <f t="shared" si="8"/>
        <v>4</v>
      </c>
      <c r="AY20">
        <f t="shared" si="9"/>
        <v>5</v>
      </c>
      <c r="AZ20">
        <f t="shared" si="10"/>
        <v>30</v>
      </c>
      <c r="BA20">
        <f t="shared" si="11"/>
        <v>29</v>
      </c>
      <c r="BB20" s="28">
        <v>29000</v>
      </c>
      <c r="BC20" s="29">
        <f t="shared" si="12"/>
        <v>966.66666666666663</v>
      </c>
      <c r="BD20" s="28">
        <f t="shared" si="13"/>
        <v>966.66666666666663</v>
      </c>
      <c r="BE20" s="28">
        <f t="shared" si="14"/>
        <v>28033.333333333332</v>
      </c>
    </row>
    <row r="21" spans="4:59" ht="15.6" x14ac:dyDescent="0.3">
      <c r="D21" s="42"/>
      <c r="E21" s="42"/>
      <c r="F21" s="42"/>
      <c r="G21" s="59">
        <v>13</v>
      </c>
      <c r="H21" s="10">
        <v>1013</v>
      </c>
      <c r="I21" s="11" t="s">
        <v>15</v>
      </c>
      <c r="J21" s="54">
        <f t="shared" si="3"/>
        <v>5</v>
      </c>
      <c r="K21" s="3" t="str">
        <f t="shared" si="4"/>
        <v>WO</v>
      </c>
      <c r="L21" s="3" t="s">
        <v>43</v>
      </c>
      <c r="M21" s="53" t="s">
        <v>41</v>
      </c>
      <c r="N21" s="3" t="s">
        <v>43</v>
      </c>
      <c r="O21" s="3" t="s">
        <v>43</v>
      </c>
      <c r="P21" s="3" t="s">
        <v>43</v>
      </c>
      <c r="Q21" s="3" t="s">
        <v>43</v>
      </c>
      <c r="R21" s="3" t="str">
        <f t="shared" si="4"/>
        <v>WO</v>
      </c>
      <c r="S21" s="3" t="s">
        <v>43</v>
      </c>
      <c r="T21" s="3" t="s">
        <v>43</v>
      </c>
      <c r="U21" s="3" t="s">
        <v>43</v>
      </c>
      <c r="V21" s="3" t="s">
        <v>43</v>
      </c>
      <c r="W21" s="53" t="s">
        <v>41</v>
      </c>
      <c r="X21" s="3" t="s">
        <v>43</v>
      </c>
      <c r="Y21" s="3" t="str">
        <f t="shared" si="4"/>
        <v>WO</v>
      </c>
      <c r="Z21" s="3" t="s">
        <v>44</v>
      </c>
      <c r="AA21" s="3" t="s">
        <v>43</v>
      </c>
      <c r="AB21" s="3" t="s">
        <v>43</v>
      </c>
      <c r="AC21" s="3" t="s">
        <v>43</v>
      </c>
      <c r="AD21" s="53" t="s">
        <v>41</v>
      </c>
      <c r="AE21" s="3" t="s">
        <v>43</v>
      </c>
      <c r="AF21" s="3" t="str">
        <f t="shared" si="15"/>
        <v>WO</v>
      </c>
      <c r="AG21" s="3" t="s">
        <v>43</v>
      </c>
      <c r="AH21" s="3" t="s">
        <v>43</v>
      </c>
      <c r="AI21" s="3" t="s">
        <v>43</v>
      </c>
      <c r="AJ21" s="3" t="s">
        <v>43</v>
      </c>
      <c r="AK21" s="3" t="s">
        <v>43</v>
      </c>
      <c r="AL21" s="53" t="s">
        <v>41</v>
      </c>
      <c r="AM21" s="3" t="str">
        <f t="shared" si="15"/>
        <v>WO</v>
      </c>
      <c r="AN21" s="3" t="s">
        <v>43</v>
      </c>
      <c r="AO21" s="36"/>
      <c r="AP21" s="42"/>
      <c r="AQ21" s="42"/>
      <c r="AR21" s="3">
        <v>13</v>
      </c>
      <c r="AS21" s="3">
        <v>1013</v>
      </c>
      <c r="AT21" s="3" t="str">
        <f t="shared" si="5"/>
        <v>June</v>
      </c>
      <c r="AU21" s="36" t="s">
        <v>15</v>
      </c>
      <c r="AV21">
        <f t="shared" si="6"/>
        <v>20</v>
      </c>
      <c r="AW21">
        <f t="shared" si="7"/>
        <v>1</v>
      </c>
      <c r="AX21">
        <f t="shared" si="8"/>
        <v>4</v>
      </c>
      <c r="AY21">
        <f t="shared" si="9"/>
        <v>5</v>
      </c>
      <c r="AZ21">
        <f t="shared" si="10"/>
        <v>30</v>
      </c>
      <c r="BA21">
        <f t="shared" si="11"/>
        <v>29</v>
      </c>
      <c r="BB21" s="28">
        <v>37000</v>
      </c>
      <c r="BC21" s="29">
        <f t="shared" si="12"/>
        <v>1233.3333333333333</v>
      </c>
      <c r="BD21" s="28">
        <f t="shared" si="13"/>
        <v>1233.3333333333333</v>
      </c>
      <c r="BE21" s="28">
        <f t="shared" si="14"/>
        <v>35766.666666666664</v>
      </c>
    </row>
    <row r="22" spans="4:59" ht="15.6" x14ac:dyDescent="0.3">
      <c r="D22" s="42"/>
      <c r="E22" s="42"/>
      <c r="F22" s="42"/>
      <c r="G22" s="59">
        <v>14</v>
      </c>
      <c r="H22" s="10">
        <v>1014</v>
      </c>
      <c r="I22" s="11" t="s">
        <v>16</v>
      </c>
      <c r="J22" s="54">
        <f t="shared" si="3"/>
        <v>5</v>
      </c>
      <c r="K22" s="3" t="str">
        <f t="shared" si="4"/>
        <v>WO</v>
      </c>
      <c r="L22" s="3" t="s">
        <v>43</v>
      </c>
      <c r="M22" s="53" t="s">
        <v>41</v>
      </c>
      <c r="N22" s="3" t="s">
        <v>43</v>
      </c>
      <c r="O22" s="3" t="s">
        <v>44</v>
      </c>
      <c r="P22" s="3" t="s">
        <v>43</v>
      </c>
      <c r="Q22" s="3" t="s">
        <v>43</v>
      </c>
      <c r="R22" s="3" t="str">
        <f t="shared" si="4"/>
        <v>WO</v>
      </c>
      <c r="S22" s="3" t="s">
        <v>43</v>
      </c>
      <c r="T22" s="3" t="s">
        <v>43</v>
      </c>
      <c r="U22" s="3" t="s">
        <v>43</v>
      </c>
      <c r="V22" s="3" t="s">
        <v>43</v>
      </c>
      <c r="W22" s="53" t="s">
        <v>41</v>
      </c>
      <c r="X22" s="3" t="s">
        <v>43</v>
      </c>
      <c r="Y22" s="3" t="str">
        <f t="shared" si="4"/>
        <v>WO</v>
      </c>
      <c r="Z22" s="3" t="s">
        <v>43</v>
      </c>
      <c r="AA22" s="3" t="s">
        <v>43</v>
      </c>
      <c r="AB22" s="3" t="s">
        <v>43</v>
      </c>
      <c r="AC22" s="3" t="s">
        <v>43</v>
      </c>
      <c r="AD22" s="53" t="s">
        <v>41</v>
      </c>
      <c r="AE22" s="3" t="s">
        <v>43</v>
      </c>
      <c r="AF22" s="3" t="str">
        <f t="shared" si="15"/>
        <v>WO</v>
      </c>
      <c r="AG22" s="3" t="s">
        <v>44</v>
      </c>
      <c r="AH22" s="3" t="s">
        <v>43</v>
      </c>
      <c r="AI22" s="3" t="s">
        <v>43</v>
      </c>
      <c r="AJ22" s="3" t="s">
        <v>43</v>
      </c>
      <c r="AK22" s="3" t="s">
        <v>44</v>
      </c>
      <c r="AL22" s="53" t="s">
        <v>41</v>
      </c>
      <c r="AM22" s="3" t="str">
        <f t="shared" si="15"/>
        <v>WO</v>
      </c>
      <c r="AN22" s="3" t="s">
        <v>43</v>
      </c>
      <c r="AO22" s="36"/>
      <c r="AP22" s="42"/>
      <c r="AQ22" s="42"/>
      <c r="AR22" s="3">
        <v>14</v>
      </c>
      <c r="AS22" s="3">
        <v>1014</v>
      </c>
      <c r="AT22" s="3" t="str">
        <f t="shared" si="5"/>
        <v>June</v>
      </c>
      <c r="AU22" s="36" t="s">
        <v>16</v>
      </c>
      <c r="AV22">
        <f t="shared" si="6"/>
        <v>18</v>
      </c>
      <c r="AW22">
        <f t="shared" si="7"/>
        <v>3</v>
      </c>
      <c r="AX22">
        <f t="shared" si="8"/>
        <v>4</v>
      </c>
      <c r="AY22">
        <f t="shared" si="9"/>
        <v>5</v>
      </c>
      <c r="AZ22">
        <f t="shared" si="10"/>
        <v>30</v>
      </c>
      <c r="BA22">
        <f t="shared" si="11"/>
        <v>27</v>
      </c>
      <c r="BB22" s="28">
        <v>41000</v>
      </c>
      <c r="BC22" s="29">
        <f t="shared" si="12"/>
        <v>1366.6666666666667</v>
      </c>
      <c r="BD22" s="28">
        <f t="shared" si="13"/>
        <v>4100</v>
      </c>
      <c r="BE22" s="28">
        <f t="shared" si="14"/>
        <v>36900</v>
      </c>
    </row>
    <row r="23" spans="4:59" ht="15.6" x14ac:dyDescent="0.3">
      <c r="D23" s="42"/>
      <c r="E23" s="42"/>
      <c r="F23" s="42"/>
      <c r="G23" s="59">
        <v>15</v>
      </c>
      <c r="H23" s="10">
        <v>1015</v>
      </c>
      <c r="I23" s="11" t="s">
        <v>17</v>
      </c>
      <c r="J23" s="54">
        <f t="shared" si="3"/>
        <v>5</v>
      </c>
      <c r="K23" s="3" t="str">
        <f t="shared" si="4"/>
        <v>WO</v>
      </c>
      <c r="L23" s="3" t="s">
        <v>43</v>
      </c>
      <c r="M23" s="53" t="s">
        <v>41</v>
      </c>
      <c r="N23" s="3" t="s">
        <v>43</v>
      </c>
      <c r="O23" s="3" t="s">
        <v>43</v>
      </c>
      <c r="P23" s="3" t="s">
        <v>43</v>
      </c>
      <c r="Q23" s="3" t="s">
        <v>43</v>
      </c>
      <c r="R23" s="3" t="str">
        <f t="shared" si="4"/>
        <v>WO</v>
      </c>
      <c r="S23" s="3" t="s">
        <v>43</v>
      </c>
      <c r="T23" s="3" t="s">
        <v>44</v>
      </c>
      <c r="U23" s="3" t="s">
        <v>43</v>
      </c>
      <c r="V23" s="3" t="s">
        <v>43</v>
      </c>
      <c r="W23" s="53" t="s">
        <v>41</v>
      </c>
      <c r="X23" s="3" t="s">
        <v>43</v>
      </c>
      <c r="Y23" s="3" t="str">
        <f t="shared" si="4"/>
        <v>WO</v>
      </c>
      <c r="Z23" s="3" t="s">
        <v>43</v>
      </c>
      <c r="AA23" s="3" t="s">
        <v>43</v>
      </c>
      <c r="AB23" s="3" t="s">
        <v>44</v>
      </c>
      <c r="AC23" s="3" t="s">
        <v>43</v>
      </c>
      <c r="AD23" s="53" t="s">
        <v>41</v>
      </c>
      <c r="AE23" s="3" t="s">
        <v>43</v>
      </c>
      <c r="AF23" s="3" t="str">
        <f t="shared" si="15"/>
        <v>WO</v>
      </c>
      <c r="AG23" s="3" t="s">
        <v>43</v>
      </c>
      <c r="AH23" s="3" t="s">
        <v>43</v>
      </c>
      <c r="AI23" s="3" t="s">
        <v>43</v>
      </c>
      <c r="AJ23" s="3" t="s">
        <v>43</v>
      </c>
      <c r="AK23" s="3" t="s">
        <v>43</v>
      </c>
      <c r="AL23" s="53" t="s">
        <v>41</v>
      </c>
      <c r="AM23" s="3" t="str">
        <f t="shared" si="15"/>
        <v>WO</v>
      </c>
      <c r="AN23" s="3" t="s">
        <v>43</v>
      </c>
      <c r="AO23" s="36"/>
      <c r="AP23" s="42"/>
      <c r="AQ23" s="42"/>
      <c r="AR23" s="3">
        <v>15</v>
      </c>
      <c r="AS23" s="3">
        <v>1015</v>
      </c>
      <c r="AT23" s="3" t="str">
        <f t="shared" si="5"/>
        <v>June</v>
      </c>
      <c r="AU23" s="36" t="s">
        <v>17</v>
      </c>
      <c r="AV23">
        <f t="shared" si="6"/>
        <v>19</v>
      </c>
      <c r="AW23">
        <f t="shared" si="7"/>
        <v>2</v>
      </c>
      <c r="AX23">
        <f t="shared" si="8"/>
        <v>4</v>
      </c>
      <c r="AY23">
        <f t="shared" si="9"/>
        <v>5</v>
      </c>
      <c r="AZ23">
        <f t="shared" si="10"/>
        <v>30</v>
      </c>
      <c r="BA23">
        <f t="shared" si="11"/>
        <v>28</v>
      </c>
      <c r="BB23" s="28">
        <v>45000</v>
      </c>
      <c r="BC23" s="29">
        <f t="shared" si="12"/>
        <v>1500</v>
      </c>
      <c r="BD23" s="28">
        <f t="shared" si="13"/>
        <v>3000</v>
      </c>
      <c r="BE23" s="28">
        <f t="shared" si="14"/>
        <v>42000</v>
      </c>
    </row>
    <row r="24" spans="4:59" ht="15.6" x14ac:dyDescent="0.3">
      <c r="D24" s="42"/>
      <c r="E24" s="42"/>
      <c r="F24" s="42"/>
      <c r="G24" s="59">
        <v>16</v>
      </c>
      <c r="H24" s="10">
        <v>1016</v>
      </c>
      <c r="I24" s="11" t="s">
        <v>18</v>
      </c>
      <c r="J24" s="54">
        <f t="shared" si="3"/>
        <v>5</v>
      </c>
      <c r="K24" s="3" t="str">
        <f t="shared" si="4"/>
        <v>WO</v>
      </c>
      <c r="L24" s="3" t="s">
        <v>43</v>
      </c>
      <c r="M24" s="53" t="s">
        <v>41</v>
      </c>
      <c r="N24" s="3" t="s">
        <v>43</v>
      </c>
      <c r="O24" s="3" t="s">
        <v>43</v>
      </c>
      <c r="P24" s="3" t="s">
        <v>43</v>
      </c>
      <c r="Q24" s="3" t="s">
        <v>43</v>
      </c>
      <c r="R24" s="3" t="str">
        <f t="shared" si="4"/>
        <v>WO</v>
      </c>
      <c r="S24" s="3" t="s">
        <v>43</v>
      </c>
      <c r="T24" s="3" t="s">
        <v>43</v>
      </c>
      <c r="U24" s="3" t="s">
        <v>43</v>
      </c>
      <c r="V24" s="3" t="s">
        <v>43</v>
      </c>
      <c r="W24" s="53" t="s">
        <v>41</v>
      </c>
      <c r="X24" s="3" t="s">
        <v>43</v>
      </c>
      <c r="Y24" s="3" t="str">
        <f t="shared" si="4"/>
        <v>WO</v>
      </c>
      <c r="Z24" s="3" t="s">
        <v>43</v>
      </c>
      <c r="AA24" s="3" t="s">
        <v>43</v>
      </c>
      <c r="AB24" s="3" t="s">
        <v>43</v>
      </c>
      <c r="AC24" s="3" t="s">
        <v>43</v>
      </c>
      <c r="AD24" s="53" t="s">
        <v>41</v>
      </c>
      <c r="AE24" s="3" t="s">
        <v>43</v>
      </c>
      <c r="AF24" s="3" t="str">
        <f t="shared" si="15"/>
        <v>WO</v>
      </c>
      <c r="AG24" s="3" t="s">
        <v>43</v>
      </c>
      <c r="AH24" s="3" t="s">
        <v>43</v>
      </c>
      <c r="AI24" s="3" t="s">
        <v>43</v>
      </c>
      <c r="AJ24" s="3" t="s">
        <v>43</v>
      </c>
      <c r="AK24" s="3" t="s">
        <v>43</v>
      </c>
      <c r="AL24" s="53" t="s">
        <v>41</v>
      </c>
      <c r="AM24" s="3" t="str">
        <f t="shared" si="15"/>
        <v>WO</v>
      </c>
      <c r="AN24" s="3" t="s">
        <v>43</v>
      </c>
      <c r="AO24" s="36"/>
      <c r="AP24" s="42"/>
      <c r="AQ24" s="42"/>
      <c r="AR24" s="3">
        <v>16</v>
      </c>
      <c r="AS24" s="3">
        <v>1016</v>
      </c>
      <c r="AT24" s="3" t="str">
        <f t="shared" si="5"/>
        <v>June</v>
      </c>
      <c r="AU24" s="36" t="s">
        <v>18</v>
      </c>
      <c r="AV24">
        <f t="shared" si="6"/>
        <v>21</v>
      </c>
      <c r="AW24">
        <f t="shared" si="7"/>
        <v>0</v>
      </c>
      <c r="AX24">
        <f t="shared" si="8"/>
        <v>4</v>
      </c>
      <c r="AY24">
        <f t="shared" si="9"/>
        <v>5</v>
      </c>
      <c r="AZ24">
        <f t="shared" si="10"/>
        <v>30</v>
      </c>
      <c r="BA24">
        <f t="shared" si="11"/>
        <v>30</v>
      </c>
      <c r="BB24" s="28">
        <v>21000</v>
      </c>
      <c r="BC24" s="29">
        <f t="shared" si="12"/>
        <v>700</v>
      </c>
      <c r="BD24" s="28">
        <f t="shared" si="13"/>
        <v>0</v>
      </c>
      <c r="BE24" s="28">
        <f t="shared" si="14"/>
        <v>21000</v>
      </c>
    </row>
    <row r="25" spans="4:59" ht="15.6" x14ac:dyDescent="0.3">
      <c r="D25" s="42"/>
      <c r="E25" s="42"/>
      <c r="F25" s="42"/>
      <c r="G25" s="59">
        <v>17</v>
      </c>
      <c r="H25" s="10">
        <v>1017</v>
      </c>
      <c r="I25" s="11" t="s">
        <v>19</v>
      </c>
      <c r="J25" s="54">
        <f t="shared" si="3"/>
        <v>5</v>
      </c>
      <c r="K25" s="3" t="str">
        <f t="shared" si="4"/>
        <v>WO</v>
      </c>
      <c r="L25" s="3" t="s">
        <v>43</v>
      </c>
      <c r="M25" s="53" t="s">
        <v>41</v>
      </c>
      <c r="N25" s="3" t="s">
        <v>43</v>
      </c>
      <c r="O25" s="3" t="s">
        <v>43</v>
      </c>
      <c r="P25" s="3" t="s">
        <v>43</v>
      </c>
      <c r="Q25" s="3" t="s">
        <v>44</v>
      </c>
      <c r="R25" s="3" t="str">
        <f t="shared" si="4"/>
        <v>WO</v>
      </c>
      <c r="S25" s="3" t="s">
        <v>43</v>
      </c>
      <c r="T25" s="3" t="s">
        <v>43</v>
      </c>
      <c r="U25" s="3" t="s">
        <v>43</v>
      </c>
      <c r="V25" s="3" t="s">
        <v>43</v>
      </c>
      <c r="W25" s="53" t="s">
        <v>41</v>
      </c>
      <c r="X25" s="3" t="s">
        <v>43</v>
      </c>
      <c r="Y25" s="3" t="str">
        <f t="shared" si="4"/>
        <v>WO</v>
      </c>
      <c r="Z25" s="3" t="s">
        <v>43</v>
      </c>
      <c r="AA25" s="3" t="s">
        <v>43</v>
      </c>
      <c r="AB25" s="3" t="s">
        <v>43</v>
      </c>
      <c r="AC25" s="3" t="s">
        <v>43</v>
      </c>
      <c r="AD25" s="53" t="s">
        <v>41</v>
      </c>
      <c r="AE25" s="3" t="s">
        <v>43</v>
      </c>
      <c r="AF25" s="3" t="str">
        <f t="shared" si="15"/>
        <v>WO</v>
      </c>
      <c r="AG25" s="3" t="s">
        <v>43</v>
      </c>
      <c r="AH25" s="3" t="s">
        <v>43</v>
      </c>
      <c r="AI25" s="3" t="s">
        <v>44</v>
      </c>
      <c r="AJ25" s="3" t="s">
        <v>43</v>
      </c>
      <c r="AK25" s="3" t="s">
        <v>43</v>
      </c>
      <c r="AL25" s="53" t="s">
        <v>41</v>
      </c>
      <c r="AM25" s="3" t="str">
        <f t="shared" si="15"/>
        <v>WO</v>
      </c>
      <c r="AN25" s="3" t="s">
        <v>43</v>
      </c>
      <c r="AO25" s="36"/>
      <c r="AP25" s="42"/>
      <c r="AQ25" s="42"/>
      <c r="AR25" s="3">
        <v>17</v>
      </c>
      <c r="AS25" s="3">
        <v>1017</v>
      </c>
      <c r="AT25" s="3" t="str">
        <f t="shared" si="5"/>
        <v>June</v>
      </c>
      <c r="AU25" s="36" t="s">
        <v>19</v>
      </c>
      <c r="AV25">
        <f t="shared" si="6"/>
        <v>19</v>
      </c>
      <c r="AW25">
        <f t="shared" si="7"/>
        <v>2</v>
      </c>
      <c r="AX25">
        <f t="shared" si="8"/>
        <v>4</v>
      </c>
      <c r="AY25">
        <f t="shared" si="9"/>
        <v>5</v>
      </c>
      <c r="AZ25">
        <f t="shared" si="10"/>
        <v>30</v>
      </c>
      <c r="BA25">
        <f t="shared" si="11"/>
        <v>28</v>
      </c>
      <c r="BB25" s="28">
        <v>26000</v>
      </c>
      <c r="BC25" s="29">
        <f t="shared" si="12"/>
        <v>866.66666666666663</v>
      </c>
      <c r="BD25" s="28">
        <f t="shared" si="13"/>
        <v>1733.3333333333333</v>
      </c>
      <c r="BE25" s="28">
        <f t="shared" si="14"/>
        <v>24266.666666666668</v>
      </c>
    </row>
    <row r="26" spans="4:59" ht="15.6" x14ac:dyDescent="0.3">
      <c r="D26" s="42"/>
      <c r="E26" s="42"/>
      <c r="F26" s="42"/>
      <c r="G26" s="59">
        <v>18</v>
      </c>
      <c r="H26" s="10">
        <v>1018</v>
      </c>
      <c r="I26" s="11" t="s">
        <v>20</v>
      </c>
      <c r="J26" s="54">
        <f t="shared" si="3"/>
        <v>5</v>
      </c>
      <c r="K26" s="3" t="str">
        <f t="shared" si="4"/>
        <v>WO</v>
      </c>
      <c r="L26" s="3" t="s">
        <v>43</v>
      </c>
      <c r="M26" s="53" t="s">
        <v>41</v>
      </c>
      <c r="N26" s="3" t="s">
        <v>43</v>
      </c>
      <c r="O26" s="3" t="s">
        <v>43</v>
      </c>
      <c r="P26" s="3" t="s">
        <v>43</v>
      </c>
      <c r="Q26" s="3" t="s">
        <v>43</v>
      </c>
      <c r="R26" s="3" t="str">
        <f t="shared" si="4"/>
        <v>WO</v>
      </c>
      <c r="S26" s="3" t="s">
        <v>44</v>
      </c>
      <c r="T26" s="3" t="s">
        <v>43</v>
      </c>
      <c r="U26" s="3" t="s">
        <v>43</v>
      </c>
      <c r="V26" s="3" t="s">
        <v>43</v>
      </c>
      <c r="W26" s="53" t="s">
        <v>41</v>
      </c>
      <c r="X26" s="3" t="s">
        <v>43</v>
      </c>
      <c r="Y26" s="3" t="str">
        <f t="shared" si="4"/>
        <v>WO</v>
      </c>
      <c r="Z26" s="3" t="s">
        <v>43</v>
      </c>
      <c r="AA26" s="3" t="s">
        <v>43</v>
      </c>
      <c r="AB26" s="3" t="s">
        <v>43</v>
      </c>
      <c r="AC26" s="3" t="s">
        <v>43</v>
      </c>
      <c r="AD26" s="53" t="s">
        <v>41</v>
      </c>
      <c r="AE26" s="3" t="s">
        <v>43</v>
      </c>
      <c r="AF26" s="3" t="str">
        <f t="shared" si="15"/>
        <v>WO</v>
      </c>
      <c r="AG26" s="3" t="s">
        <v>43</v>
      </c>
      <c r="AH26" s="3" t="s">
        <v>43</v>
      </c>
      <c r="AI26" s="3" t="s">
        <v>43</v>
      </c>
      <c r="AJ26" s="3" t="s">
        <v>43</v>
      </c>
      <c r="AK26" s="3" t="s">
        <v>43</v>
      </c>
      <c r="AL26" s="53" t="s">
        <v>41</v>
      </c>
      <c r="AM26" s="3" t="str">
        <f t="shared" si="15"/>
        <v>WO</v>
      </c>
      <c r="AN26" s="3" t="s">
        <v>43</v>
      </c>
      <c r="AO26" s="36"/>
      <c r="AP26" s="42"/>
      <c r="AQ26" s="42"/>
      <c r="AR26" s="3">
        <v>18</v>
      </c>
      <c r="AS26" s="3">
        <v>1018</v>
      </c>
      <c r="AT26" s="3" t="str">
        <f t="shared" si="5"/>
        <v>June</v>
      </c>
      <c r="AU26" s="36" t="s">
        <v>20</v>
      </c>
      <c r="AV26">
        <f t="shared" si="6"/>
        <v>20</v>
      </c>
      <c r="AW26">
        <f t="shared" si="7"/>
        <v>1</v>
      </c>
      <c r="AX26">
        <f t="shared" si="8"/>
        <v>4</v>
      </c>
      <c r="AY26">
        <f t="shared" si="9"/>
        <v>5</v>
      </c>
      <c r="AZ26">
        <f t="shared" si="10"/>
        <v>30</v>
      </c>
      <c r="BA26">
        <f t="shared" si="11"/>
        <v>29</v>
      </c>
      <c r="BB26" s="28">
        <v>35000</v>
      </c>
      <c r="BC26" s="29">
        <f t="shared" si="12"/>
        <v>1166.6666666666667</v>
      </c>
      <c r="BD26" s="28">
        <f t="shared" si="13"/>
        <v>1166.6666666666667</v>
      </c>
      <c r="BE26" s="28">
        <f t="shared" si="14"/>
        <v>33833.333333333336</v>
      </c>
    </row>
    <row r="27" spans="4:59" ht="15.6" x14ac:dyDescent="0.3">
      <c r="D27" s="42"/>
      <c r="E27" s="42"/>
      <c r="F27" s="42"/>
      <c r="G27" s="59">
        <v>19</v>
      </c>
      <c r="H27" s="10">
        <v>1019</v>
      </c>
      <c r="I27" s="11" t="s">
        <v>21</v>
      </c>
      <c r="J27" s="54">
        <f t="shared" si="3"/>
        <v>5</v>
      </c>
      <c r="K27" s="3" t="str">
        <f t="shared" si="4"/>
        <v>WO</v>
      </c>
      <c r="L27" s="3" t="s">
        <v>43</v>
      </c>
      <c r="M27" s="53" t="s">
        <v>41</v>
      </c>
      <c r="N27" s="3" t="s">
        <v>44</v>
      </c>
      <c r="O27" s="3" t="s">
        <v>43</v>
      </c>
      <c r="P27" s="3" t="s">
        <v>43</v>
      </c>
      <c r="Q27" s="3" t="s">
        <v>43</v>
      </c>
      <c r="R27" s="3" t="str">
        <f t="shared" si="4"/>
        <v>WO</v>
      </c>
      <c r="S27" s="3" t="s">
        <v>43</v>
      </c>
      <c r="T27" s="3" t="s">
        <v>43</v>
      </c>
      <c r="U27" s="3" t="s">
        <v>43</v>
      </c>
      <c r="V27" s="3" t="s">
        <v>43</v>
      </c>
      <c r="W27" s="53" t="s">
        <v>41</v>
      </c>
      <c r="X27" s="3" t="s">
        <v>43</v>
      </c>
      <c r="Y27" s="3" t="str">
        <f t="shared" si="4"/>
        <v>WO</v>
      </c>
      <c r="Z27" s="3" t="s">
        <v>44</v>
      </c>
      <c r="AA27" s="3" t="s">
        <v>43</v>
      </c>
      <c r="AB27" s="3" t="s">
        <v>43</v>
      </c>
      <c r="AC27" s="3" t="s">
        <v>44</v>
      </c>
      <c r="AD27" s="53" t="s">
        <v>41</v>
      </c>
      <c r="AE27" s="3" t="s">
        <v>43</v>
      </c>
      <c r="AF27" s="3" t="str">
        <f t="shared" si="15"/>
        <v>WO</v>
      </c>
      <c r="AG27" s="3" t="s">
        <v>43</v>
      </c>
      <c r="AH27" s="3" t="s">
        <v>43</v>
      </c>
      <c r="AI27" s="3" t="s">
        <v>43</v>
      </c>
      <c r="AJ27" s="3" t="s">
        <v>43</v>
      </c>
      <c r="AK27" s="3" t="s">
        <v>43</v>
      </c>
      <c r="AL27" s="53" t="s">
        <v>41</v>
      </c>
      <c r="AM27" s="3" t="str">
        <f t="shared" si="15"/>
        <v>WO</v>
      </c>
      <c r="AN27" s="3" t="s">
        <v>43</v>
      </c>
      <c r="AO27" s="36"/>
      <c r="AP27" s="42"/>
      <c r="AQ27" s="42"/>
      <c r="AR27" s="3">
        <v>19</v>
      </c>
      <c r="AS27" s="3">
        <v>1019</v>
      </c>
      <c r="AT27" s="3" t="str">
        <f t="shared" si="5"/>
        <v>June</v>
      </c>
      <c r="AU27" s="36" t="s">
        <v>21</v>
      </c>
      <c r="AV27">
        <f t="shared" si="6"/>
        <v>18</v>
      </c>
      <c r="AW27">
        <f t="shared" si="7"/>
        <v>3</v>
      </c>
      <c r="AX27">
        <f t="shared" si="8"/>
        <v>4</v>
      </c>
      <c r="AY27">
        <f t="shared" si="9"/>
        <v>5</v>
      </c>
      <c r="AZ27">
        <f t="shared" si="10"/>
        <v>30</v>
      </c>
      <c r="BA27">
        <f t="shared" si="11"/>
        <v>27</v>
      </c>
      <c r="BB27" s="28">
        <v>55000</v>
      </c>
      <c r="BC27" s="29">
        <f t="shared" si="12"/>
        <v>1833.3333333333333</v>
      </c>
      <c r="BD27" s="28">
        <f t="shared" si="13"/>
        <v>5500</v>
      </c>
      <c r="BE27" s="28">
        <f t="shared" si="14"/>
        <v>49500</v>
      </c>
    </row>
    <row r="28" spans="4:59" ht="16.2" thickBot="1" x14ac:dyDescent="0.35">
      <c r="D28" s="42"/>
      <c r="E28" s="42"/>
      <c r="F28" s="42"/>
      <c r="G28" s="61">
        <v>20</v>
      </c>
      <c r="H28" s="62">
        <v>1020</v>
      </c>
      <c r="I28" s="63" t="s">
        <v>22</v>
      </c>
      <c r="J28" s="74">
        <f t="shared" si="3"/>
        <v>5</v>
      </c>
      <c r="K28" s="37" t="str">
        <f t="shared" si="4"/>
        <v>WO</v>
      </c>
      <c r="L28" s="37" t="s">
        <v>43</v>
      </c>
      <c r="M28" s="75" t="s">
        <v>41</v>
      </c>
      <c r="N28" s="37" t="s">
        <v>43</v>
      </c>
      <c r="O28" s="37" t="s">
        <v>43</v>
      </c>
      <c r="P28" s="37" t="s">
        <v>43</v>
      </c>
      <c r="Q28" s="37" t="s">
        <v>43</v>
      </c>
      <c r="R28" s="37" t="str">
        <f t="shared" si="4"/>
        <v>WO</v>
      </c>
      <c r="S28" s="37" t="s">
        <v>43</v>
      </c>
      <c r="T28" s="37" t="s">
        <v>43</v>
      </c>
      <c r="U28" s="37" t="s">
        <v>44</v>
      </c>
      <c r="V28" s="37" t="s">
        <v>43</v>
      </c>
      <c r="W28" s="75" t="s">
        <v>41</v>
      </c>
      <c r="X28" s="37" t="s">
        <v>43</v>
      </c>
      <c r="Y28" s="37" t="str">
        <f t="shared" si="4"/>
        <v>WO</v>
      </c>
      <c r="Z28" s="37" t="s">
        <v>43</v>
      </c>
      <c r="AA28" s="37" t="s">
        <v>43</v>
      </c>
      <c r="AB28" s="37" t="s">
        <v>43</v>
      </c>
      <c r="AC28" s="37" t="s">
        <v>43</v>
      </c>
      <c r="AD28" s="75" t="s">
        <v>41</v>
      </c>
      <c r="AE28" s="37" t="s">
        <v>43</v>
      </c>
      <c r="AF28" s="37" t="str">
        <f t="shared" si="15"/>
        <v>WO</v>
      </c>
      <c r="AG28" s="37" t="s">
        <v>44</v>
      </c>
      <c r="AH28" s="37" t="s">
        <v>43</v>
      </c>
      <c r="AI28" s="37" t="s">
        <v>44</v>
      </c>
      <c r="AJ28" s="37" t="s">
        <v>43</v>
      </c>
      <c r="AK28" s="37" t="s">
        <v>43</v>
      </c>
      <c r="AL28" s="75" t="s">
        <v>41</v>
      </c>
      <c r="AM28" s="37" t="str">
        <f t="shared" si="15"/>
        <v>WO</v>
      </c>
      <c r="AN28" s="37" t="s">
        <v>43</v>
      </c>
      <c r="AO28" s="38"/>
      <c r="AP28" s="42"/>
      <c r="AQ28" s="42"/>
      <c r="AR28" s="37">
        <v>20</v>
      </c>
      <c r="AS28" s="37">
        <v>1020</v>
      </c>
      <c r="AT28" s="37" t="str">
        <f t="shared" si="5"/>
        <v>June</v>
      </c>
      <c r="AU28" s="38" t="s">
        <v>22</v>
      </c>
      <c r="AV28" s="33">
        <f t="shared" si="6"/>
        <v>18</v>
      </c>
      <c r="AW28" s="33">
        <f t="shared" si="7"/>
        <v>3</v>
      </c>
      <c r="AX28" s="33">
        <f t="shared" si="8"/>
        <v>4</v>
      </c>
      <c r="AY28" s="33">
        <f t="shared" si="9"/>
        <v>5</v>
      </c>
      <c r="AZ28" s="33">
        <f t="shared" si="10"/>
        <v>30</v>
      </c>
      <c r="BA28" s="33">
        <f t="shared" si="11"/>
        <v>27</v>
      </c>
      <c r="BB28" s="34">
        <v>44000</v>
      </c>
      <c r="BC28" s="35">
        <f t="shared" si="12"/>
        <v>1466.6666666666667</v>
      </c>
      <c r="BD28" s="34">
        <f t="shared" si="13"/>
        <v>4400</v>
      </c>
      <c r="BE28" s="34">
        <f t="shared" si="14"/>
        <v>39600</v>
      </c>
    </row>
    <row r="29" spans="4:59" x14ac:dyDescent="0.3"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</row>
    <row r="30" spans="4:59" x14ac:dyDescent="0.3"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</row>
    <row r="31" spans="4:59" x14ac:dyDescent="0.3"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</row>
    <row r="32" spans="4:59" x14ac:dyDescent="0.3"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</row>
    <row r="33" spans="4:59" x14ac:dyDescent="0.3"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</row>
    <row r="34" spans="4:59" x14ac:dyDescent="0.3"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4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</row>
    <row r="35" spans="4:59" x14ac:dyDescent="0.3"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</row>
    <row r="36" spans="4:59" x14ac:dyDescent="0.3"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</row>
    <row r="37" spans="4:59" x14ac:dyDescent="0.3"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</row>
    <row r="38" spans="4:59" x14ac:dyDescent="0.3"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</row>
    <row r="39" spans="4:59" x14ac:dyDescent="0.3"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</row>
    <row r="40" spans="4:59" x14ac:dyDescent="0.3"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</row>
    <row r="41" spans="4:59" x14ac:dyDescent="0.3"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</row>
    <row r="42" spans="4:59" x14ac:dyDescent="0.3"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</row>
    <row r="43" spans="4:59" x14ac:dyDescent="0.3"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</row>
    <row r="44" spans="4:59" x14ac:dyDescent="0.3"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</row>
  </sheetData>
  <mergeCells count="1">
    <mergeCell ref="G7:I7"/>
  </mergeCells>
  <conditionalFormatting sqref="K9:AO28">
    <cfRule type="containsText" dxfId="27" priority="1" operator="containsText" text="L">
      <formula>NOT(ISERROR(SEARCH("L",K9)))</formula>
    </cfRule>
    <cfRule type="containsText" dxfId="26" priority="2" operator="containsText" text="A">
      <formula>NOT(ISERROR(SEARCH("A",K9)))</formula>
    </cfRule>
    <cfRule type="containsText" dxfId="25" priority="3" operator="containsText" text="P">
      <formula>NOT(ISERROR(SEARCH("P",K9)))</formula>
    </cfRule>
    <cfRule type="containsText" dxfId="24" priority="4" operator="containsText" text="WO">
      <formula>NOT(ISERROR(SEARCH("WO",K9)))</formula>
    </cfRule>
  </conditionalFormatting>
  <dataValidations count="1">
    <dataValidation type="list" allowBlank="1" showInputMessage="1" showErrorMessage="1" sqref="AN9:AO28 L9:Q28 S9:X28 Z9:AE28 AG9:AL28" xr:uid="{089BA836-56A1-4C1C-AC2E-A3529EAB3FE5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4B1C7C3-F0AD-47E2-8B0B-F39EC1BBC8E4}">
          <x14:formula1>
            <xm:f>Rough!$A$1:$A$12</xm:f>
          </x14:formula1>
          <xm:sqref>H5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455CA-5679-413F-8331-7236EB439DCF}">
  <dimension ref="D1:BG44"/>
  <sheetViews>
    <sheetView topLeftCell="AM1" zoomScaleNormal="100" workbookViewId="0">
      <selection activeCell="AR20" sqref="AR20"/>
    </sheetView>
  </sheetViews>
  <sheetFormatPr defaultRowHeight="14.4" x14ac:dyDescent="0.3"/>
  <cols>
    <col min="7" max="7" width="9.6640625" customWidth="1"/>
    <col min="8" max="8" width="14.88671875" customWidth="1"/>
    <col min="9" max="9" width="20.21875" customWidth="1"/>
    <col min="10" max="10" width="9.88671875" bestFit="1" customWidth="1"/>
    <col min="11" max="11" width="4.6640625" bestFit="1" customWidth="1"/>
    <col min="12" max="12" width="5.33203125" bestFit="1" customWidth="1"/>
    <col min="13" max="13" width="4.77734375" bestFit="1" customWidth="1"/>
    <col min="14" max="14" width="3.77734375" bestFit="1" customWidth="1"/>
    <col min="15" max="15" width="4.109375" bestFit="1" customWidth="1"/>
    <col min="16" max="16" width="4.77734375" bestFit="1" customWidth="1"/>
    <col min="17" max="17" width="5.21875" bestFit="1" customWidth="1"/>
    <col min="18" max="18" width="4.6640625" bestFit="1" customWidth="1"/>
    <col min="19" max="19" width="5.33203125" bestFit="1" customWidth="1"/>
    <col min="20" max="20" width="4.77734375" bestFit="1" customWidth="1"/>
    <col min="21" max="21" width="3.77734375" bestFit="1" customWidth="1"/>
    <col min="22" max="22" width="4.109375" bestFit="1" customWidth="1"/>
    <col min="23" max="23" width="4.77734375" bestFit="1" customWidth="1"/>
    <col min="24" max="24" width="5.21875" bestFit="1" customWidth="1"/>
    <col min="25" max="25" width="4.6640625" bestFit="1" customWidth="1"/>
    <col min="26" max="26" width="5.33203125" bestFit="1" customWidth="1"/>
    <col min="27" max="27" width="4.77734375" bestFit="1" customWidth="1"/>
    <col min="28" max="28" width="3.77734375" bestFit="1" customWidth="1"/>
    <col min="29" max="29" width="4.109375" bestFit="1" customWidth="1"/>
    <col min="30" max="30" width="4.77734375" bestFit="1" customWidth="1"/>
    <col min="31" max="31" width="5.21875" bestFit="1" customWidth="1"/>
    <col min="32" max="32" width="4.6640625" bestFit="1" customWidth="1"/>
    <col min="33" max="33" width="5.33203125" bestFit="1" customWidth="1"/>
    <col min="34" max="34" width="4.77734375" bestFit="1" customWidth="1"/>
    <col min="35" max="35" width="3.77734375" bestFit="1" customWidth="1"/>
    <col min="36" max="36" width="4.109375" bestFit="1" customWidth="1"/>
    <col min="37" max="37" width="4.77734375" bestFit="1" customWidth="1"/>
    <col min="38" max="38" width="5.21875" bestFit="1" customWidth="1"/>
    <col min="39" max="39" width="4.6640625" bestFit="1" customWidth="1"/>
    <col min="40" max="40" width="5.33203125" bestFit="1" customWidth="1"/>
    <col min="41" max="41" width="4.77734375" bestFit="1" customWidth="1"/>
    <col min="44" max="44" width="7" customWidth="1"/>
    <col min="45" max="45" width="15.33203125" customWidth="1"/>
    <col min="46" max="46" width="12.5546875" customWidth="1"/>
    <col min="47" max="47" width="19" bestFit="1" customWidth="1"/>
    <col min="48" max="49" width="10.109375" customWidth="1"/>
    <col min="51" max="51" width="11.109375" customWidth="1"/>
    <col min="53" max="53" width="12.5546875" customWidth="1"/>
    <col min="54" max="54" width="12" bestFit="1" customWidth="1"/>
    <col min="55" max="55" width="16.77734375" customWidth="1"/>
    <col min="56" max="56" width="12.5546875" customWidth="1"/>
    <col min="57" max="57" width="14.44140625" customWidth="1"/>
  </cols>
  <sheetData>
    <row r="1" spans="4:59" x14ac:dyDescent="0.3">
      <c r="AQ1" s="42"/>
    </row>
    <row r="2" spans="4:59" x14ac:dyDescent="0.3">
      <c r="AQ2" s="42"/>
    </row>
    <row r="3" spans="4:59" x14ac:dyDescent="0.3">
      <c r="AQ3" s="42"/>
    </row>
    <row r="4" spans="4:59" x14ac:dyDescent="0.3">
      <c r="D4" s="42"/>
      <c r="E4" s="42"/>
      <c r="F4" s="42"/>
      <c r="G4" s="68"/>
      <c r="H4" s="68"/>
      <c r="I4" s="68">
        <f>(DATEDIF($H$5,$H$6,"D")+1)</f>
        <v>31</v>
      </c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</row>
    <row r="5" spans="4:59" x14ac:dyDescent="0.3">
      <c r="D5" s="42"/>
      <c r="E5" s="42"/>
      <c r="F5" s="42"/>
      <c r="G5" s="68" t="s">
        <v>26</v>
      </c>
      <c r="H5" s="69">
        <v>45839</v>
      </c>
      <c r="I5" s="68" t="str">
        <f>TEXT(H5,"MMMM")</f>
        <v>July</v>
      </c>
      <c r="J5" s="42"/>
      <c r="K5" s="42"/>
      <c r="L5" s="42"/>
      <c r="M5" s="43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</row>
    <row r="6" spans="4:59" ht="15" thickBot="1" x14ac:dyDescent="0.35">
      <c r="D6" s="42"/>
      <c r="E6" s="42"/>
      <c r="F6" s="42"/>
      <c r="G6" s="68" t="s">
        <v>27</v>
      </c>
      <c r="H6" s="69">
        <f>EOMONTH(H5,0)</f>
        <v>45869</v>
      </c>
      <c r="I6" s="68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</row>
    <row r="7" spans="4:59" ht="15.6" x14ac:dyDescent="0.3">
      <c r="D7" s="42"/>
      <c r="E7" s="42"/>
      <c r="F7" s="42"/>
      <c r="G7" s="83" t="s">
        <v>29</v>
      </c>
      <c r="H7" s="84"/>
      <c r="I7" s="84"/>
      <c r="J7" s="55" t="s">
        <v>28</v>
      </c>
      <c r="K7" s="55" t="str">
        <f>TEXT(K8,"DDD")</f>
        <v>Tue</v>
      </c>
      <c r="L7" s="55" t="str">
        <f t="shared" ref="L7:AN7" si="0">TEXT(L8,"DDD")</f>
        <v>Wed</v>
      </c>
      <c r="M7" s="55" t="str">
        <f t="shared" si="0"/>
        <v>Thu</v>
      </c>
      <c r="N7" s="55" t="str">
        <f t="shared" si="0"/>
        <v>Fri</v>
      </c>
      <c r="O7" s="55" t="str">
        <f t="shared" si="0"/>
        <v>Sat</v>
      </c>
      <c r="P7" s="55" t="str">
        <f t="shared" si="0"/>
        <v>Sun</v>
      </c>
      <c r="Q7" s="55" t="str">
        <f t="shared" si="0"/>
        <v>Mon</v>
      </c>
      <c r="R7" s="55" t="str">
        <f t="shared" si="0"/>
        <v>Tue</v>
      </c>
      <c r="S7" s="55" t="str">
        <f t="shared" si="0"/>
        <v>Wed</v>
      </c>
      <c r="T7" s="55" t="str">
        <f t="shared" si="0"/>
        <v>Thu</v>
      </c>
      <c r="U7" s="55" t="str">
        <f t="shared" si="0"/>
        <v>Fri</v>
      </c>
      <c r="V7" s="55" t="str">
        <f t="shared" si="0"/>
        <v>Sat</v>
      </c>
      <c r="W7" s="55" t="str">
        <f t="shared" si="0"/>
        <v>Sun</v>
      </c>
      <c r="X7" s="55" t="str">
        <f t="shared" si="0"/>
        <v>Mon</v>
      </c>
      <c r="Y7" s="55" t="str">
        <f t="shared" si="0"/>
        <v>Tue</v>
      </c>
      <c r="Z7" s="55" t="str">
        <f t="shared" si="0"/>
        <v>Wed</v>
      </c>
      <c r="AA7" s="55" t="str">
        <f t="shared" si="0"/>
        <v>Thu</v>
      </c>
      <c r="AB7" s="55" t="str">
        <f t="shared" si="0"/>
        <v>Fri</v>
      </c>
      <c r="AC7" s="55" t="str">
        <f t="shared" si="0"/>
        <v>Sat</v>
      </c>
      <c r="AD7" s="55" t="str">
        <f t="shared" si="0"/>
        <v>Sun</v>
      </c>
      <c r="AE7" s="55" t="str">
        <f t="shared" si="0"/>
        <v>Mon</v>
      </c>
      <c r="AF7" s="55" t="str">
        <f t="shared" si="0"/>
        <v>Tue</v>
      </c>
      <c r="AG7" s="55" t="str">
        <f t="shared" si="0"/>
        <v>Wed</v>
      </c>
      <c r="AH7" s="55" t="str">
        <f t="shared" si="0"/>
        <v>Thu</v>
      </c>
      <c r="AI7" s="55" t="str">
        <f t="shared" si="0"/>
        <v>Fri</v>
      </c>
      <c r="AJ7" s="55" t="str">
        <f t="shared" si="0"/>
        <v>Sat</v>
      </c>
      <c r="AK7" s="55" t="str">
        <f t="shared" si="0"/>
        <v>Sun</v>
      </c>
      <c r="AL7" s="55" t="str">
        <f t="shared" si="0"/>
        <v>Mon</v>
      </c>
      <c r="AM7" s="55" t="str">
        <f t="shared" si="0"/>
        <v>Tue</v>
      </c>
      <c r="AN7" s="55" t="str">
        <f t="shared" si="0"/>
        <v>Wed</v>
      </c>
      <c r="AO7" s="56" t="str">
        <f>TEXT(AO8,"DDD")</f>
        <v>Thu</v>
      </c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</row>
    <row r="8" spans="4:59" ht="16.2" thickBot="1" x14ac:dyDescent="0.35">
      <c r="D8" s="42"/>
      <c r="E8" s="42"/>
      <c r="F8" s="42"/>
      <c r="G8" s="57" t="s">
        <v>0</v>
      </c>
      <c r="H8" s="7" t="s">
        <v>23</v>
      </c>
      <c r="I8" s="8" t="s">
        <v>24</v>
      </c>
      <c r="J8" s="45" t="s">
        <v>25</v>
      </c>
      <c r="K8" s="46">
        <f>H5</f>
        <v>45839</v>
      </c>
      <c r="L8" s="46">
        <f>IF(K8&lt;$H$6,K8+1,"")</f>
        <v>45840</v>
      </c>
      <c r="M8" s="46">
        <f t="shared" ref="M8:AO8" si="1">IF(L8&lt;$H$6,L8+1,"")</f>
        <v>45841</v>
      </c>
      <c r="N8" s="46">
        <f t="shared" si="1"/>
        <v>45842</v>
      </c>
      <c r="O8" s="46">
        <f t="shared" si="1"/>
        <v>45843</v>
      </c>
      <c r="P8" s="46">
        <f t="shared" si="1"/>
        <v>45844</v>
      </c>
      <c r="Q8" s="46">
        <f t="shared" si="1"/>
        <v>45845</v>
      </c>
      <c r="R8" s="46">
        <f t="shared" si="1"/>
        <v>45846</v>
      </c>
      <c r="S8" s="46">
        <f t="shared" si="1"/>
        <v>45847</v>
      </c>
      <c r="T8" s="46">
        <f t="shared" si="1"/>
        <v>45848</v>
      </c>
      <c r="U8" s="46">
        <f t="shared" si="1"/>
        <v>45849</v>
      </c>
      <c r="V8" s="46">
        <f t="shared" si="1"/>
        <v>45850</v>
      </c>
      <c r="W8" s="46">
        <f t="shared" si="1"/>
        <v>45851</v>
      </c>
      <c r="X8" s="46">
        <f t="shared" si="1"/>
        <v>45852</v>
      </c>
      <c r="Y8" s="46">
        <f t="shared" si="1"/>
        <v>45853</v>
      </c>
      <c r="Z8" s="46">
        <f t="shared" si="1"/>
        <v>45854</v>
      </c>
      <c r="AA8" s="46">
        <f t="shared" si="1"/>
        <v>45855</v>
      </c>
      <c r="AB8" s="46">
        <f t="shared" si="1"/>
        <v>45856</v>
      </c>
      <c r="AC8" s="46">
        <f>IF(AB8&lt;$H$6,AB8+1,"")</f>
        <v>45857</v>
      </c>
      <c r="AD8" s="46">
        <f t="shared" si="1"/>
        <v>45858</v>
      </c>
      <c r="AE8" s="46">
        <f t="shared" si="1"/>
        <v>45859</v>
      </c>
      <c r="AF8" s="46">
        <f t="shared" si="1"/>
        <v>45860</v>
      </c>
      <c r="AG8" s="46">
        <f t="shared" si="1"/>
        <v>45861</v>
      </c>
      <c r="AH8" s="46">
        <f t="shared" si="1"/>
        <v>45862</v>
      </c>
      <c r="AI8" s="46">
        <f t="shared" si="1"/>
        <v>45863</v>
      </c>
      <c r="AJ8" s="46">
        <f t="shared" si="1"/>
        <v>45864</v>
      </c>
      <c r="AK8" s="46">
        <f t="shared" si="1"/>
        <v>45865</v>
      </c>
      <c r="AL8" s="46">
        <f>IF(AK8&lt;$H$6,AK8+1,"")</f>
        <v>45866</v>
      </c>
      <c r="AM8" s="46">
        <f t="shared" si="1"/>
        <v>45867</v>
      </c>
      <c r="AN8" s="46">
        <f t="shared" si="1"/>
        <v>45868</v>
      </c>
      <c r="AO8" s="58">
        <f t="shared" si="1"/>
        <v>45869</v>
      </c>
      <c r="AP8" s="42"/>
      <c r="AQ8" s="42"/>
      <c r="AR8" s="27" t="s">
        <v>0</v>
      </c>
      <c r="AS8" s="27" t="s">
        <v>23</v>
      </c>
      <c r="AT8" s="27" t="s">
        <v>39</v>
      </c>
      <c r="AU8" s="39" t="s">
        <v>24</v>
      </c>
      <c r="AV8" s="40" t="s">
        <v>30</v>
      </c>
      <c r="AW8" s="41" t="s">
        <v>31</v>
      </c>
      <c r="AX8" s="41" t="s">
        <v>32</v>
      </c>
      <c r="AY8" s="41" t="s">
        <v>33</v>
      </c>
      <c r="AZ8" s="41" t="s">
        <v>28</v>
      </c>
      <c r="BA8" s="41" t="s">
        <v>34</v>
      </c>
      <c r="BB8" s="41" t="s">
        <v>35</v>
      </c>
      <c r="BC8" s="41" t="s">
        <v>36</v>
      </c>
      <c r="BD8" s="41" t="s">
        <v>37</v>
      </c>
      <c r="BE8" s="41" t="s">
        <v>38</v>
      </c>
    </row>
    <row r="9" spans="4:59" ht="15.6" x14ac:dyDescent="0.3">
      <c r="D9" s="42"/>
      <c r="E9" s="42"/>
      <c r="F9" s="42"/>
      <c r="G9" s="59">
        <v>1</v>
      </c>
      <c r="H9" s="10">
        <v>1001</v>
      </c>
      <c r="I9" s="11" t="s">
        <v>3</v>
      </c>
      <c r="J9" s="47">
        <f>COUNTIF($K$7:$AO$7,"sun")</f>
        <v>4</v>
      </c>
      <c r="K9" s="48" t="s">
        <v>43</v>
      </c>
      <c r="L9" s="48" t="s">
        <v>43</v>
      </c>
      <c r="M9" s="48" t="s">
        <v>43</v>
      </c>
      <c r="N9" s="48" t="s">
        <v>43</v>
      </c>
      <c r="O9" s="48" t="s">
        <v>43</v>
      </c>
      <c r="P9" s="48" t="str">
        <f t="shared" ref="P9:AK17" si="2">IF(P$7="sun","WO","")</f>
        <v>WO</v>
      </c>
      <c r="Q9" s="48" t="s">
        <v>43</v>
      </c>
      <c r="R9" s="48" t="s">
        <v>41</v>
      </c>
      <c r="S9" s="48" t="s">
        <v>44</v>
      </c>
      <c r="T9" s="48" t="s">
        <v>43</v>
      </c>
      <c r="U9" s="48" t="s">
        <v>43</v>
      </c>
      <c r="V9" s="48" t="s">
        <v>43</v>
      </c>
      <c r="W9" s="48" t="str">
        <f t="shared" si="2"/>
        <v>WO</v>
      </c>
      <c r="X9" s="48" t="s">
        <v>44</v>
      </c>
      <c r="Y9" s="48" t="s">
        <v>43</v>
      </c>
      <c r="Z9" s="48" t="s">
        <v>43</v>
      </c>
      <c r="AA9" s="48" t="s">
        <v>43</v>
      </c>
      <c r="AB9" s="48" t="s">
        <v>43</v>
      </c>
      <c r="AC9" s="48" t="s">
        <v>43</v>
      </c>
      <c r="AD9" s="48" t="str">
        <f t="shared" si="2"/>
        <v>WO</v>
      </c>
      <c r="AE9" s="48" t="s">
        <v>41</v>
      </c>
      <c r="AF9" s="48" t="s">
        <v>41</v>
      </c>
      <c r="AG9" s="48" t="s">
        <v>43</v>
      </c>
      <c r="AH9" s="48" t="s">
        <v>43</v>
      </c>
      <c r="AI9" s="48" t="s">
        <v>43</v>
      </c>
      <c r="AJ9" s="48" t="s">
        <v>43</v>
      </c>
      <c r="AK9" s="48" t="str">
        <f t="shared" si="2"/>
        <v>WO</v>
      </c>
      <c r="AL9" s="48" t="s">
        <v>43</v>
      </c>
      <c r="AM9" s="48" t="s">
        <v>43</v>
      </c>
      <c r="AN9" s="48" t="s">
        <v>43</v>
      </c>
      <c r="AO9" s="60" t="s">
        <v>43</v>
      </c>
      <c r="AP9" s="42"/>
      <c r="AQ9" s="42"/>
      <c r="AR9" s="3">
        <v>1</v>
      </c>
      <c r="AS9" s="3">
        <v>1001</v>
      </c>
      <c r="AT9" s="3" t="str">
        <f>$I$5</f>
        <v>July</v>
      </c>
      <c r="AU9" s="36" t="s">
        <v>3</v>
      </c>
      <c r="AV9" s="30">
        <f>COUNTIF($K9:$AO9,"P")</f>
        <v>22</v>
      </c>
      <c r="AW9" s="30">
        <f>COUNTIF($K9:$AO9,"A")</f>
        <v>2</v>
      </c>
      <c r="AX9" s="30">
        <f>COUNTIF($K9:$AO9,"L")</f>
        <v>3</v>
      </c>
      <c r="AY9" s="30">
        <f>$J$9</f>
        <v>4</v>
      </c>
      <c r="AZ9" s="30">
        <f>$I$4</f>
        <v>31</v>
      </c>
      <c r="BA9" s="30">
        <f>AZ9-AW9</f>
        <v>29</v>
      </c>
      <c r="BB9" s="31">
        <v>25000</v>
      </c>
      <c r="BC9" s="32">
        <f>BB9/AZ9</f>
        <v>806.45161290322585</v>
      </c>
      <c r="BD9" s="31">
        <f>BC9*AW9</f>
        <v>1612.9032258064517</v>
      </c>
      <c r="BE9" s="31">
        <f>BB9-BD9</f>
        <v>23387.096774193549</v>
      </c>
    </row>
    <row r="10" spans="4:59" ht="15.6" x14ac:dyDescent="0.3">
      <c r="D10" s="42"/>
      <c r="E10" s="42"/>
      <c r="F10" s="42"/>
      <c r="G10" s="59">
        <v>2</v>
      </c>
      <c r="H10" s="10">
        <v>1002</v>
      </c>
      <c r="I10" s="11" t="s">
        <v>4</v>
      </c>
      <c r="J10" s="49">
        <f t="shared" ref="J10:J28" si="3">COUNTIF($K$7:$AO$7,"sun")</f>
        <v>4</v>
      </c>
      <c r="K10" s="2" t="s">
        <v>43</v>
      </c>
      <c r="L10" s="2" t="s">
        <v>43</v>
      </c>
      <c r="M10" s="2" t="s">
        <v>43</v>
      </c>
      <c r="N10" s="2" t="s">
        <v>44</v>
      </c>
      <c r="O10" s="2" t="s">
        <v>43</v>
      </c>
      <c r="P10" s="2" t="str">
        <f t="shared" si="2"/>
        <v>WO</v>
      </c>
      <c r="Q10" s="2" t="s">
        <v>43</v>
      </c>
      <c r="R10" s="48" t="s">
        <v>41</v>
      </c>
      <c r="S10" s="2" t="s">
        <v>43</v>
      </c>
      <c r="T10" s="2" t="s">
        <v>43</v>
      </c>
      <c r="U10" s="2" t="s">
        <v>43</v>
      </c>
      <c r="V10" s="2" t="s">
        <v>44</v>
      </c>
      <c r="W10" s="2" t="str">
        <f t="shared" si="2"/>
        <v>WO</v>
      </c>
      <c r="X10" s="2" t="s">
        <v>43</v>
      </c>
      <c r="Y10" s="2" t="s">
        <v>43</v>
      </c>
      <c r="Z10" s="2" t="s">
        <v>43</v>
      </c>
      <c r="AA10" s="2" t="s">
        <v>43</v>
      </c>
      <c r="AB10" s="2" t="s">
        <v>43</v>
      </c>
      <c r="AC10" s="2" t="s">
        <v>43</v>
      </c>
      <c r="AD10" s="2" t="str">
        <f t="shared" si="2"/>
        <v>WO</v>
      </c>
      <c r="AE10" s="48" t="s">
        <v>41</v>
      </c>
      <c r="AF10" s="48" t="s">
        <v>41</v>
      </c>
      <c r="AG10" s="2" t="s">
        <v>44</v>
      </c>
      <c r="AH10" s="2" t="s">
        <v>43</v>
      </c>
      <c r="AI10" s="2" t="s">
        <v>43</v>
      </c>
      <c r="AJ10" s="2" t="s">
        <v>43</v>
      </c>
      <c r="AK10" s="2" t="str">
        <f t="shared" si="2"/>
        <v>WO</v>
      </c>
      <c r="AL10" s="2" t="s">
        <v>43</v>
      </c>
      <c r="AM10" s="2" t="s">
        <v>43</v>
      </c>
      <c r="AN10" s="2" t="s">
        <v>43</v>
      </c>
      <c r="AO10" s="76" t="s">
        <v>43</v>
      </c>
      <c r="AP10" s="42"/>
      <c r="AQ10" s="42"/>
      <c r="AR10" s="3">
        <v>2</v>
      </c>
      <c r="AS10" s="3">
        <v>1002</v>
      </c>
      <c r="AT10" s="3" t="str">
        <f t="shared" ref="AT10:AT28" si="4">$I$5</f>
        <v>July</v>
      </c>
      <c r="AU10" s="36" t="s">
        <v>4</v>
      </c>
      <c r="AV10">
        <f t="shared" ref="AV10:AV28" si="5">COUNTIF($K10:$AO10,"P")</f>
        <v>21</v>
      </c>
      <c r="AW10">
        <f t="shared" ref="AW10:AW28" si="6">COUNTIF($K10:$AO10,"A")</f>
        <v>3</v>
      </c>
      <c r="AX10">
        <f t="shared" ref="AX10:AX28" si="7">COUNTIF($K10:$AO10,"L")</f>
        <v>3</v>
      </c>
      <c r="AY10">
        <f t="shared" ref="AY10:AY28" si="8">$J$9</f>
        <v>4</v>
      </c>
      <c r="AZ10">
        <f t="shared" ref="AZ10:AZ28" si="9">$I$4</f>
        <v>31</v>
      </c>
      <c r="BA10">
        <f t="shared" ref="BA10:BA28" si="10">AZ10-AW10</f>
        <v>28</v>
      </c>
      <c r="BB10" s="28">
        <v>24000</v>
      </c>
      <c r="BC10" s="29">
        <f t="shared" ref="BC10:BC28" si="11">BB10/AZ10</f>
        <v>774.19354838709683</v>
      </c>
      <c r="BD10" s="28">
        <f t="shared" ref="BD10:BD28" si="12">BC10*AW10</f>
        <v>2322.5806451612907</v>
      </c>
      <c r="BE10" s="28">
        <f t="shared" ref="BE10:BE28" si="13">BB10-BD10</f>
        <v>21677.419354838708</v>
      </c>
    </row>
    <row r="11" spans="4:59" ht="15.6" x14ac:dyDescent="0.3">
      <c r="D11" s="42"/>
      <c r="E11" s="42"/>
      <c r="F11" s="42"/>
      <c r="G11" s="59">
        <v>3</v>
      </c>
      <c r="H11" s="10">
        <v>1003</v>
      </c>
      <c r="I11" s="11" t="s">
        <v>5</v>
      </c>
      <c r="J11" s="49">
        <f t="shared" si="3"/>
        <v>4</v>
      </c>
      <c r="K11" s="2" t="s">
        <v>43</v>
      </c>
      <c r="L11" s="2" t="s">
        <v>43</v>
      </c>
      <c r="M11" s="2" t="s">
        <v>43</v>
      </c>
      <c r="N11" s="2" t="s">
        <v>43</v>
      </c>
      <c r="O11" s="2" t="s">
        <v>43</v>
      </c>
      <c r="P11" s="2" t="str">
        <f t="shared" si="2"/>
        <v>WO</v>
      </c>
      <c r="Q11" s="2" t="s">
        <v>43</v>
      </c>
      <c r="R11" s="48" t="s">
        <v>41</v>
      </c>
      <c r="S11" s="2" t="s">
        <v>43</v>
      </c>
      <c r="T11" s="2" t="s">
        <v>43</v>
      </c>
      <c r="U11" s="2" t="s">
        <v>43</v>
      </c>
      <c r="V11" s="2" t="s">
        <v>43</v>
      </c>
      <c r="W11" s="2" t="str">
        <f t="shared" si="2"/>
        <v>WO</v>
      </c>
      <c r="X11" s="2" t="s">
        <v>43</v>
      </c>
      <c r="Y11" s="2" t="s">
        <v>43</v>
      </c>
      <c r="Z11" s="2" t="s">
        <v>43</v>
      </c>
      <c r="AA11" s="2" t="s">
        <v>43</v>
      </c>
      <c r="AB11" s="2" t="s">
        <v>43</v>
      </c>
      <c r="AC11" s="2" t="s">
        <v>43</v>
      </c>
      <c r="AD11" s="2" t="str">
        <f t="shared" si="2"/>
        <v>WO</v>
      </c>
      <c r="AE11" s="48" t="s">
        <v>41</v>
      </c>
      <c r="AF11" s="48" t="s">
        <v>41</v>
      </c>
      <c r="AG11" s="2" t="s">
        <v>43</v>
      </c>
      <c r="AH11" s="2" t="s">
        <v>43</v>
      </c>
      <c r="AI11" s="2" t="s">
        <v>43</v>
      </c>
      <c r="AJ11" s="2" t="s">
        <v>43</v>
      </c>
      <c r="AK11" s="2" t="str">
        <f t="shared" si="2"/>
        <v>WO</v>
      </c>
      <c r="AL11" s="2" t="s">
        <v>43</v>
      </c>
      <c r="AM11" s="2" t="s">
        <v>43</v>
      </c>
      <c r="AN11" s="2" t="s">
        <v>44</v>
      </c>
      <c r="AO11" s="76" t="s">
        <v>43</v>
      </c>
      <c r="AP11" s="42"/>
      <c r="AQ11" s="42"/>
      <c r="AR11" s="3">
        <v>3</v>
      </c>
      <c r="AS11" s="3">
        <v>1003</v>
      </c>
      <c r="AT11" s="3" t="str">
        <f t="shared" si="4"/>
        <v>July</v>
      </c>
      <c r="AU11" s="36" t="s">
        <v>5</v>
      </c>
      <c r="AV11">
        <f t="shared" si="5"/>
        <v>23</v>
      </c>
      <c r="AW11">
        <f t="shared" si="6"/>
        <v>1</v>
      </c>
      <c r="AX11">
        <f t="shared" si="7"/>
        <v>3</v>
      </c>
      <c r="AY11">
        <f t="shared" si="8"/>
        <v>4</v>
      </c>
      <c r="AZ11">
        <f t="shared" si="9"/>
        <v>31</v>
      </c>
      <c r="BA11">
        <f t="shared" si="10"/>
        <v>30</v>
      </c>
      <c r="BB11" s="28">
        <v>23000</v>
      </c>
      <c r="BC11" s="29">
        <f t="shared" si="11"/>
        <v>741.93548387096769</v>
      </c>
      <c r="BD11" s="28">
        <f t="shared" si="12"/>
        <v>741.93548387096769</v>
      </c>
      <c r="BE11" s="28">
        <f t="shared" si="13"/>
        <v>22258.064516129034</v>
      </c>
    </row>
    <row r="12" spans="4:59" ht="15.6" x14ac:dyDescent="0.3">
      <c r="D12" s="42"/>
      <c r="E12" s="42"/>
      <c r="F12" s="42"/>
      <c r="G12" s="59">
        <v>4</v>
      </c>
      <c r="H12" s="10">
        <v>1004</v>
      </c>
      <c r="I12" s="11" t="s">
        <v>6</v>
      </c>
      <c r="J12" s="49">
        <f t="shared" si="3"/>
        <v>4</v>
      </c>
      <c r="K12" s="2" t="s">
        <v>43</v>
      </c>
      <c r="L12" s="2" t="s">
        <v>44</v>
      </c>
      <c r="M12" s="2" t="s">
        <v>43</v>
      </c>
      <c r="N12" s="2" t="s">
        <v>43</v>
      </c>
      <c r="O12" s="2" t="s">
        <v>43</v>
      </c>
      <c r="P12" s="2" t="str">
        <f t="shared" si="2"/>
        <v>WO</v>
      </c>
      <c r="Q12" s="2" t="s">
        <v>43</v>
      </c>
      <c r="R12" s="48" t="s">
        <v>41</v>
      </c>
      <c r="S12" s="2" t="s">
        <v>43</v>
      </c>
      <c r="T12" s="2" t="s">
        <v>43</v>
      </c>
      <c r="U12" s="2" t="s">
        <v>43</v>
      </c>
      <c r="V12" s="2" t="s">
        <v>43</v>
      </c>
      <c r="W12" s="2" t="str">
        <f t="shared" si="2"/>
        <v>WO</v>
      </c>
      <c r="X12" s="2" t="s">
        <v>43</v>
      </c>
      <c r="Y12" s="2" t="s">
        <v>43</v>
      </c>
      <c r="Z12" s="2" t="s">
        <v>43</v>
      </c>
      <c r="AA12" s="2" t="s">
        <v>43</v>
      </c>
      <c r="AB12" s="2" t="s">
        <v>44</v>
      </c>
      <c r="AC12" s="2" t="s">
        <v>43</v>
      </c>
      <c r="AD12" s="2" t="str">
        <f t="shared" si="2"/>
        <v>WO</v>
      </c>
      <c r="AE12" s="48" t="s">
        <v>41</v>
      </c>
      <c r="AF12" s="48" t="s">
        <v>41</v>
      </c>
      <c r="AG12" s="2" t="s">
        <v>43</v>
      </c>
      <c r="AH12" s="2" t="s">
        <v>43</v>
      </c>
      <c r="AI12" s="2" t="s">
        <v>43</v>
      </c>
      <c r="AJ12" s="2" t="s">
        <v>44</v>
      </c>
      <c r="AK12" s="2" t="str">
        <f t="shared" si="2"/>
        <v>WO</v>
      </c>
      <c r="AL12" s="2" t="s">
        <v>43</v>
      </c>
      <c r="AM12" s="2" t="s">
        <v>43</v>
      </c>
      <c r="AN12" s="2" t="s">
        <v>43</v>
      </c>
      <c r="AO12" s="76" t="s">
        <v>43</v>
      </c>
      <c r="AP12" s="42"/>
      <c r="AQ12" s="42"/>
      <c r="AR12" s="3">
        <v>4</v>
      </c>
      <c r="AS12" s="3">
        <v>1004</v>
      </c>
      <c r="AT12" s="3" t="str">
        <f t="shared" si="4"/>
        <v>July</v>
      </c>
      <c r="AU12" s="36" t="s">
        <v>6</v>
      </c>
      <c r="AV12">
        <f t="shared" si="5"/>
        <v>21</v>
      </c>
      <c r="AW12">
        <f t="shared" si="6"/>
        <v>3</v>
      </c>
      <c r="AX12">
        <f t="shared" si="7"/>
        <v>3</v>
      </c>
      <c r="AY12">
        <f t="shared" si="8"/>
        <v>4</v>
      </c>
      <c r="AZ12">
        <f t="shared" si="9"/>
        <v>31</v>
      </c>
      <c r="BA12">
        <f t="shared" si="10"/>
        <v>28</v>
      </c>
      <c r="BB12" s="28">
        <v>25000</v>
      </c>
      <c r="BC12" s="29">
        <f t="shared" si="11"/>
        <v>806.45161290322585</v>
      </c>
      <c r="BD12" s="28">
        <f t="shared" si="12"/>
        <v>2419.3548387096776</v>
      </c>
      <c r="BE12" s="28">
        <f t="shared" si="13"/>
        <v>22580.645161290322</v>
      </c>
    </row>
    <row r="13" spans="4:59" ht="15.6" x14ac:dyDescent="0.3">
      <c r="D13" s="42"/>
      <c r="E13" s="42"/>
      <c r="F13" s="42"/>
      <c r="G13" s="59">
        <v>5</v>
      </c>
      <c r="H13" s="10">
        <v>1005</v>
      </c>
      <c r="I13" s="11" t="s">
        <v>7</v>
      </c>
      <c r="J13" s="49">
        <f t="shared" si="3"/>
        <v>4</v>
      </c>
      <c r="K13" s="2" t="s">
        <v>43</v>
      </c>
      <c r="L13" s="2" t="s">
        <v>43</v>
      </c>
      <c r="M13" s="2" t="s">
        <v>43</v>
      </c>
      <c r="N13" s="2" t="s">
        <v>43</v>
      </c>
      <c r="O13" s="2" t="s">
        <v>43</v>
      </c>
      <c r="P13" s="2" t="str">
        <f t="shared" si="2"/>
        <v>WO</v>
      </c>
      <c r="Q13" s="2" t="s">
        <v>43</v>
      </c>
      <c r="R13" s="48" t="s">
        <v>41</v>
      </c>
      <c r="S13" s="2" t="s">
        <v>43</v>
      </c>
      <c r="T13" s="2" t="s">
        <v>44</v>
      </c>
      <c r="U13" s="2" t="s">
        <v>43</v>
      </c>
      <c r="V13" s="2" t="s">
        <v>43</v>
      </c>
      <c r="W13" s="2" t="str">
        <f t="shared" si="2"/>
        <v>WO</v>
      </c>
      <c r="X13" s="2" t="s">
        <v>43</v>
      </c>
      <c r="Y13" s="2" t="s">
        <v>43</v>
      </c>
      <c r="Z13" s="2" t="s">
        <v>43</v>
      </c>
      <c r="AA13" s="2" t="s">
        <v>43</v>
      </c>
      <c r="AB13" s="2" t="s">
        <v>43</v>
      </c>
      <c r="AC13" s="2" t="s">
        <v>43</v>
      </c>
      <c r="AD13" s="2" t="str">
        <f t="shared" si="2"/>
        <v>WO</v>
      </c>
      <c r="AE13" s="48" t="s">
        <v>41</v>
      </c>
      <c r="AF13" s="48" t="s">
        <v>41</v>
      </c>
      <c r="AG13" s="2" t="s">
        <v>43</v>
      </c>
      <c r="AH13" s="2" t="s">
        <v>43</v>
      </c>
      <c r="AI13" s="2" t="s">
        <v>43</v>
      </c>
      <c r="AJ13" s="2" t="s">
        <v>43</v>
      </c>
      <c r="AK13" s="2" t="str">
        <f t="shared" si="2"/>
        <v>WO</v>
      </c>
      <c r="AL13" s="2" t="s">
        <v>43</v>
      </c>
      <c r="AM13" s="2" t="s">
        <v>43</v>
      </c>
      <c r="AN13" s="2" t="s">
        <v>43</v>
      </c>
      <c r="AO13" s="76" t="s">
        <v>43</v>
      </c>
      <c r="AP13" s="42"/>
      <c r="AQ13" s="42"/>
      <c r="AR13" s="3">
        <v>5</v>
      </c>
      <c r="AS13" s="3">
        <v>1005</v>
      </c>
      <c r="AT13" s="3" t="str">
        <f t="shared" si="4"/>
        <v>July</v>
      </c>
      <c r="AU13" s="36" t="s">
        <v>7</v>
      </c>
      <c r="AV13">
        <f t="shared" si="5"/>
        <v>23</v>
      </c>
      <c r="AW13">
        <f t="shared" si="6"/>
        <v>1</v>
      </c>
      <c r="AX13">
        <f t="shared" si="7"/>
        <v>3</v>
      </c>
      <c r="AY13">
        <f t="shared" si="8"/>
        <v>4</v>
      </c>
      <c r="AZ13">
        <f t="shared" si="9"/>
        <v>31</v>
      </c>
      <c r="BA13">
        <f t="shared" si="10"/>
        <v>30</v>
      </c>
      <c r="BB13" s="28">
        <v>26000</v>
      </c>
      <c r="BC13" s="29">
        <f t="shared" si="11"/>
        <v>838.70967741935488</v>
      </c>
      <c r="BD13" s="28">
        <f t="shared" si="12"/>
        <v>838.70967741935488</v>
      </c>
      <c r="BE13" s="28">
        <f t="shared" si="13"/>
        <v>25161.290322580644</v>
      </c>
    </row>
    <row r="14" spans="4:59" ht="15.6" x14ac:dyDescent="0.3">
      <c r="D14" s="42"/>
      <c r="E14" s="42"/>
      <c r="F14" s="42"/>
      <c r="G14" s="59">
        <v>6</v>
      </c>
      <c r="H14" s="10">
        <v>1006</v>
      </c>
      <c r="I14" s="11" t="s">
        <v>8</v>
      </c>
      <c r="J14" s="49">
        <f t="shared" si="3"/>
        <v>4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tr">
        <f t="shared" si="2"/>
        <v>WO</v>
      </c>
      <c r="Q14" s="2" t="s">
        <v>43</v>
      </c>
      <c r="R14" s="48" t="s">
        <v>41</v>
      </c>
      <c r="S14" s="2" t="s">
        <v>43</v>
      </c>
      <c r="T14" s="2" t="s">
        <v>43</v>
      </c>
      <c r="U14" s="2" t="s">
        <v>43</v>
      </c>
      <c r="V14" s="2" t="s">
        <v>43</v>
      </c>
      <c r="W14" s="2" t="str">
        <f t="shared" si="2"/>
        <v>WO</v>
      </c>
      <c r="X14" s="2" t="s">
        <v>43</v>
      </c>
      <c r="Y14" s="2" t="s">
        <v>43</v>
      </c>
      <c r="Z14" s="2" t="s">
        <v>43</v>
      </c>
      <c r="AA14" s="2" t="s">
        <v>43</v>
      </c>
      <c r="AB14" s="2" t="s">
        <v>43</v>
      </c>
      <c r="AC14" s="2" t="s">
        <v>43</v>
      </c>
      <c r="AD14" s="2" t="str">
        <f t="shared" si="2"/>
        <v>WO</v>
      </c>
      <c r="AE14" s="48" t="s">
        <v>41</v>
      </c>
      <c r="AF14" s="48" t="s">
        <v>41</v>
      </c>
      <c r="AG14" s="2" t="s">
        <v>43</v>
      </c>
      <c r="AH14" s="2" t="s">
        <v>43</v>
      </c>
      <c r="AI14" s="2" t="s">
        <v>43</v>
      </c>
      <c r="AJ14" s="2" t="s">
        <v>43</v>
      </c>
      <c r="AK14" s="2" t="str">
        <f t="shared" si="2"/>
        <v>WO</v>
      </c>
      <c r="AL14" s="2" t="s">
        <v>43</v>
      </c>
      <c r="AM14" s="2" t="s">
        <v>43</v>
      </c>
      <c r="AN14" s="2" t="s">
        <v>43</v>
      </c>
      <c r="AO14" s="76" t="s">
        <v>43</v>
      </c>
      <c r="AP14" s="42"/>
      <c r="AQ14" s="42"/>
      <c r="AR14" s="3">
        <v>6</v>
      </c>
      <c r="AS14" s="3">
        <v>1006</v>
      </c>
      <c r="AT14" s="3" t="str">
        <f t="shared" si="4"/>
        <v>July</v>
      </c>
      <c r="AU14" s="36" t="s">
        <v>8</v>
      </c>
      <c r="AV14">
        <f t="shared" si="5"/>
        <v>24</v>
      </c>
      <c r="AW14">
        <f t="shared" si="6"/>
        <v>0</v>
      </c>
      <c r="AX14">
        <f t="shared" si="7"/>
        <v>3</v>
      </c>
      <c r="AY14">
        <f t="shared" si="8"/>
        <v>4</v>
      </c>
      <c r="AZ14">
        <f t="shared" si="9"/>
        <v>31</v>
      </c>
      <c r="BA14">
        <f t="shared" si="10"/>
        <v>31</v>
      </c>
      <c r="BB14" s="28">
        <v>31000</v>
      </c>
      <c r="BC14" s="29">
        <f t="shared" si="11"/>
        <v>1000</v>
      </c>
      <c r="BD14" s="28">
        <f t="shared" si="12"/>
        <v>0</v>
      </c>
      <c r="BE14" s="28">
        <f t="shared" si="13"/>
        <v>31000</v>
      </c>
    </row>
    <row r="15" spans="4:59" ht="15.6" x14ac:dyDescent="0.3">
      <c r="D15" s="42"/>
      <c r="E15" s="42"/>
      <c r="F15" s="42"/>
      <c r="G15" s="59">
        <v>7</v>
      </c>
      <c r="H15" s="10">
        <v>1007</v>
      </c>
      <c r="I15" s="11" t="s">
        <v>9</v>
      </c>
      <c r="J15" s="49">
        <f t="shared" si="3"/>
        <v>4</v>
      </c>
      <c r="K15" s="2" t="s">
        <v>43</v>
      </c>
      <c r="L15" s="2" t="s">
        <v>43</v>
      </c>
      <c r="M15" s="2" t="s">
        <v>43</v>
      </c>
      <c r="N15" s="2" t="s">
        <v>43</v>
      </c>
      <c r="O15" s="2" t="s">
        <v>43</v>
      </c>
      <c r="P15" s="2" t="str">
        <f t="shared" si="2"/>
        <v>WO</v>
      </c>
      <c r="Q15" s="2" t="s">
        <v>43</v>
      </c>
      <c r="R15" s="48" t="s">
        <v>41</v>
      </c>
      <c r="S15" s="2" t="s">
        <v>43</v>
      </c>
      <c r="T15" s="2" t="s">
        <v>43</v>
      </c>
      <c r="U15" s="2" t="s">
        <v>43</v>
      </c>
      <c r="V15" s="2" t="s">
        <v>43</v>
      </c>
      <c r="W15" s="2" t="str">
        <f t="shared" si="2"/>
        <v>WO</v>
      </c>
      <c r="X15" s="2" t="s">
        <v>43</v>
      </c>
      <c r="Y15" s="2" t="s">
        <v>44</v>
      </c>
      <c r="Z15" s="2" t="s">
        <v>43</v>
      </c>
      <c r="AA15" s="2" t="s">
        <v>43</v>
      </c>
      <c r="AB15" s="2" t="s">
        <v>43</v>
      </c>
      <c r="AC15" s="2" t="s">
        <v>43</v>
      </c>
      <c r="AD15" s="2" t="str">
        <f t="shared" si="2"/>
        <v>WO</v>
      </c>
      <c r="AE15" s="48" t="s">
        <v>41</v>
      </c>
      <c r="AF15" s="48" t="s">
        <v>41</v>
      </c>
      <c r="AG15" s="2" t="s">
        <v>43</v>
      </c>
      <c r="AH15" s="2" t="s">
        <v>43</v>
      </c>
      <c r="AI15" s="2" t="s">
        <v>43</v>
      </c>
      <c r="AJ15" s="2" t="s">
        <v>43</v>
      </c>
      <c r="AK15" s="2" t="str">
        <f t="shared" si="2"/>
        <v>WO</v>
      </c>
      <c r="AL15" s="2" t="s">
        <v>44</v>
      </c>
      <c r="AM15" s="2" t="s">
        <v>43</v>
      </c>
      <c r="AN15" s="2" t="s">
        <v>43</v>
      </c>
      <c r="AO15" s="76" t="s">
        <v>43</v>
      </c>
      <c r="AP15" s="42"/>
      <c r="AQ15" s="42"/>
      <c r="AR15" s="3">
        <v>7</v>
      </c>
      <c r="AS15" s="3">
        <v>1007</v>
      </c>
      <c r="AT15" s="3" t="str">
        <f t="shared" si="4"/>
        <v>July</v>
      </c>
      <c r="AU15" s="36" t="s">
        <v>9</v>
      </c>
      <c r="AV15">
        <f t="shared" si="5"/>
        <v>22</v>
      </c>
      <c r="AW15">
        <f t="shared" si="6"/>
        <v>2</v>
      </c>
      <c r="AX15">
        <f t="shared" si="7"/>
        <v>3</v>
      </c>
      <c r="AY15">
        <f t="shared" si="8"/>
        <v>4</v>
      </c>
      <c r="AZ15">
        <f t="shared" si="9"/>
        <v>31</v>
      </c>
      <c r="BA15">
        <f t="shared" si="10"/>
        <v>29</v>
      </c>
      <c r="BB15" s="28">
        <v>28000</v>
      </c>
      <c r="BC15" s="29">
        <f t="shared" si="11"/>
        <v>903.22580645161293</v>
      </c>
      <c r="BD15" s="28">
        <f t="shared" si="12"/>
        <v>1806.4516129032259</v>
      </c>
      <c r="BE15" s="28">
        <f t="shared" si="13"/>
        <v>26193.548387096773</v>
      </c>
    </row>
    <row r="16" spans="4:59" ht="15.6" x14ac:dyDescent="0.3">
      <c r="D16" s="42"/>
      <c r="E16" s="42"/>
      <c r="F16" s="42"/>
      <c r="G16" s="59">
        <v>8</v>
      </c>
      <c r="H16" s="10">
        <v>1008</v>
      </c>
      <c r="I16" s="11" t="s">
        <v>10</v>
      </c>
      <c r="J16" s="49">
        <f t="shared" si="3"/>
        <v>4</v>
      </c>
      <c r="K16" s="2" t="s">
        <v>43</v>
      </c>
      <c r="L16" s="2" t="s">
        <v>44</v>
      </c>
      <c r="M16" s="2" t="s">
        <v>43</v>
      </c>
      <c r="N16" s="2" t="s">
        <v>43</v>
      </c>
      <c r="O16" s="2" t="s">
        <v>43</v>
      </c>
      <c r="P16" s="2" t="str">
        <f t="shared" si="2"/>
        <v>WO</v>
      </c>
      <c r="Q16" s="2" t="s">
        <v>43</v>
      </c>
      <c r="R16" s="48" t="s">
        <v>41</v>
      </c>
      <c r="S16" s="2" t="s">
        <v>43</v>
      </c>
      <c r="T16" s="2" t="s">
        <v>43</v>
      </c>
      <c r="U16" s="2" t="s">
        <v>44</v>
      </c>
      <c r="V16" s="2" t="s">
        <v>43</v>
      </c>
      <c r="W16" s="2" t="str">
        <f t="shared" si="2"/>
        <v>WO</v>
      </c>
      <c r="X16" s="2" t="s">
        <v>43</v>
      </c>
      <c r="Y16" s="2" t="s">
        <v>43</v>
      </c>
      <c r="Z16" s="2" t="s">
        <v>43</v>
      </c>
      <c r="AA16" s="2" t="s">
        <v>43</v>
      </c>
      <c r="AB16" s="2" t="s">
        <v>43</v>
      </c>
      <c r="AC16" s="2" t="s">
        <v>43</v>
      </c>
      <c r="AD16" s="2" t="str">
        <f t="shared" si="2"/>
        <v>WO</v>
      </c>
      <c r="AE16" s="48" t="s">
        <v>41</v>
      </c>
      <c r="AF16" s="48" t="s">
        <v>41</v>
      </c>
      <c r="AG16" s="2" t="s">
        <v>43</v>
      </c>
      <c r="AH16" s="2" t="s">
        <v>43</v>
      </c>
      <c r="AI16" s="2" t="s">
        <v>43</v>
      </c>
      <c r="AJ16" s="2" t="s">
        <v>43</v>
      </c>
      <c r="AK16" s="2" t="str">
        <f t="shared" si="2"/>
        <v>WO</v>
      </c>
      <c r="AL16" s="2" t="s">
        <v>43</v>
      </c>
      <c r="AM16" s="2" t="s">
        <v>43</v>
      </c>
      <c r="AN16" s="2" t="s">
        <v>43</v>
      </c>
      <c r="AO16" s="76" t="s">
        <v>43</v>
      </c>
      <c r="AP16" s="42"/>
      <c r="AQ16" s="42"/>
      <c r="AR16" s="3">
        <v>8</v>
      </c>
      <c r="AS16" s="3">
        <v>1008</v>
      </c>
      <c r="AT16" s="3" t="str">
        <f t="shared" si="4"/>
        <v>July</v>
      </c>
      <c r="AU16" s="36" t="s">
        <v>10</v>
      </c>
      <c r="AV16">
        <f t="shared" si="5"/>
        <v>22</v>
      </c>
      <c r="AW16">
        <f t="shared" si="6"/>
        <v>2</v>
      </c>
      <c r="AX16">
        <f t="shared" si="7"/>
        <v>3</v>
      </c>
      <c r="AY16">
        <f t="shared" si="8"/>
        <v>4</v>
      </c>
      <c r="AZ16">
        <f t="shared" si="9"/>
        <v>31</v>
      </c>
      <c r="BA16">
        <f t="shared" si="10"/>
        <v>29</v>
      </c>
      <c r="BB16" s="28">
        <v>29000</v>
      </c>
      <c r="BC16" s="29">
        <f t="shared" si="11"/>
        <v>935.48387096774195</v>
      </c>
      <c r="BD16" s="28">
        <f t="shared" si="12"/>
        <v>1870.9677419354839</v>
      </c>
      <c r="BE16" s="28">
        <f t="shared" si="13"/>
        <v>27129.032258064515</v>
      </c>
    </row>
    <row r="17" spans="4:59" ht="15.6" x14ac:dyDescent="0.3">
      <c r="D17" s="42"/>
      <c r="E17" s="42"/>
      <c r="F17" s="42"/>
      <c r="G17" s="59">
        <v>9</v>
      </c>
      <c r="H17" s="10">
        <v>1009</v>
      </c>
      <c r="I17" s="11" t="s">
        <v>11</v>
      </c>
      <c r="J17" s="49">
        <f t="shared" si="3"/>
        <v>4</v>
      </c>
      <c r="K17" s="2" t="s">
        <v>43</v>
      </c>
      <c r="L17" s="2" t="s">
        <v>43</v>
      </c>
      <c r="M17" s="2" t="s">
        <v>43</v>
      </c>
      <c r="N17" s="2" t="s">
        <v>43</v>
      </c>
      <c r="O17" s="2" t="s">
        <v>43</v>
      </c>
      <c r="P17" s="2" t="str">
        <f t="shared" si="2"/>
        <v>WO</v>
      </c>
      <c r="Q17" s="2" t="s">
        <v>43</v>
      </c>
      <c r="R17" s="48" t="s">
        <v>41</v>
      </c>
      <c r="S17" s="2" t="s">
        <v>43</v>
      </c>
      <c r="T17" s="2" t="s">
        <v>43</v>
      </c>
      <c r="U17" s="2" t="s">
        <v>43</v>
      </c>
      <c r="V17" s="2" t="s">
        <v>43</v>
      </c>
      <c r="W17" s="2" t="str">
        <f t="shared" si="2"/>
        <v>WO</v>
      </c>
      <c r="X17" s="2" t="s">
        <v>43</v>
      </c>
      <c r="Y17" s="2" t="s">
        <v>43</v>
      </c>
      <c r="Z17" s="2" t="s">
        <v>43</v>
      </c>
      <c r="AA17" s="2" t="s">
        <v>43</v>
      </c>
      <c r="AB17" s="2" t="s">
        <v>43</v>
      </c>
      <c r="AC17" s="2" t="s">
        <v>43</v>
      </c>
      <c r="AD17" s="2" t="str">
        <f t="shared" ref="AD17:AK28" si="14">IF(AD$7="sun","WO","")</f>
        <v>WO</v>
      </c>
      <c r="AE17" s="48" t="s">
        <v>41</v>
      </c>
      <c r="AF17" s="48" t="s">
        <v>41</v>
      </c>
      <c r="AG17" s="2" t="s">
        <v>43</v>
      </c>
      <c r="AH17" s="2" t="s">
        <v>44</v>
      </c>
      <c r="AI17" s="2" t="s">
        <v>43</v>
      </c>
      <c r="AJ17" s="2" t="s">
        <v>43</v>
      </c>
      <c r="AK17" s="2" t="str">
        <f t="shared" si="14"/>
        <v>WO</v>
      </c>
      <c r="AL17" s="2" t="s">
        <v>43</v>
      </c>
      <c r="AM17" s="2" t="s">
        <v>43</v>
      </c>
      <c r="AN17" s="2" t="s">
        <v>43</v>
      </c>
      <c r="AO17" s="76" t="s">
        <v>43</v>
      </c>
      <c r="AP17" s="42"/>
      <c r="AQ17" s="42"/>
      <c r="AR17" s="3">
        <v>9</v>
      </c>
      <c r="AS17" s="3">
        <v>1009</v>
      </c>
      <c r="AT17" s="3" t="str">
        <f t="shared" si="4"/>
        <v>July</v>
      </c>
      <c r="AU17" s="36" t="s">
        <v>11</v>
      </c>
      <c r="AV17">
        <f t="shared" si="5"/>
        <v>23</v>
      </c>
      <c r="AW17">
        <f t="shared" si="6"/>
        <v>1</v>
      </c>
      <c r="AX17">
        <f t="shared" si="7"/>
        <v>3</v>
      </c>
      <c r="AY17">
        <f t="shared" si="8"/>
        <v>4</v>
      </c>
      <c r="AZ17">
        <f t="shared" si="9"/>
        <v>31</v>
      </c>
      <c r="BA17">
        <f t="shared" si="10"/>
        <v>30</v>
      </c>
      <c r="BB17" s="28">
        <v>32000</v>
      </c>
      <c r="BC17" s="29">
        <f t="shared" si="11"/>
        <v>1032.258064516129</v>
      </c>
      <c r="BD17" s="28">
        <f t="shared" si="12"/>
        <v>1032.258064516129</v>
      </c>
      <c r="BE17" s="28">
        <f t="shared" si="13"/>
        <v>30967.741935483871</v>
      </c>
    </row>
    <row r="18" spans="4:59" ht="15.6" x14ac:dyDescent="0.3">
      <c r="D18" s="42"/>
      <c r="E18" s="42"/>
      <c r="F18" s="42"/>
      <c r="G18" s="59">
        <v>10</v>
      </c>
      <c r="H18" s="10">
        <v>1010</v>
      </c>
      <c r="I18" s="11" t="s">
        <v>12</v>
      </c>
      <c r="J18" s="49">
        <f t="shared" si="3"/>
        <v>4</v>
      </c>
      <c r="K18" s="2" t="s">
        <v>43</v>
      </c>
      <c r="L18" s="2" t="s">
        <v>43</v>
      </c>
      <c r="M18" s="2" t="s">
        <v>43</v>
      </c>
      <c r="N18" s="2" t="s">
        <v>44</v>
      </c>
      <c r="O18" s="2" t="s">
        <v>43</v>
      </c>
      <c r="P18" s="2" t="str">
        <f t="shared" ref="P18:W28" si="15">IF(P$7="sun","WO","")</f>
        <v>WO</v>
      </c>
      <c r="Q18" s="2" t="s">
        <v>43</v>
      </c>
      <c r="R18" s="48" t="s">
        <v>41</v>
      </c>
      <c r="S18" s="2" t="s">
        <v>43</v>
      </c>
      <c r="T18" s="2" t="s">
        <v>43</v>
      </c>
      <c r="U18" s="2" t="s">
        <v>43</v>
      </c>
      <c r="V18" s="2" t="s">
        <v>43</v>
      </c>
      <c r="W18" s="2" t="str">
        <f t="shared" si="15"/>
        <v>WO</v>
      </c>
      <c r="X18" s="2" t="s">
        <v>43</v>
      </c>
      <c r="Y18" s="2" t="s">
        <v>43</v>
      </c>
      <c r="Z18" s="2" t="s">
        <v>43</v>
      </c>
      <c r="AA18" s="2" t="s">
        <v>44</v>
      </c>
      <c r="AB18" s="2" t="s">
        <v>43</v>
      </c>
      <c r="AC18" s="2" t="s">
        <v>43</v>
      </c>
      <c r="AD18" s="2" t="str">
        <f t="shared" si="14"/>
        <v>WO</v>
      </c>
      <c r="AE18" s="48" t="s">
        <v>41</v>
      </c>
      <c r="AF18" s="48" t="s">
        <v>41</v>
      </c>
      <c r="AG18" s="2" t="s">
        <v>43</v>
      </c>
      <c r="AH18" s="2" t="s">
        <v>43</v>
      </c>
      <c r="AI18" s="2" t="s">
        <v>43</v>
      </c>
      <c r="AJ18" s="2" t="s">
        <v>43</v>
      </c>
      <c r="AK18" s="2" t="str">
        <f t="shared" si="14"/>
        <v>WO</v>
      </c>
      <c r="AL18" s="2" t="s">
        <v>43</v>
      </c>
      <c r="AM18" s="2" t="s">
        <v>43</v>
      </c>
      <c r="AN18" s="2" t="s">
        <v>43</v>
      </c>
      <c r="AO18" s="76" t="s">
        <v>43</v>
      </c>
      <c r="AP18" s="42"/>
      <c r="AQ18" s="42"/>
      <c r="AR18" s="3">
        <v>10</v>
      </c>
      <c r="AS18" s="3">
        <v>1010</v>
      </c>
      <c r="AT18" s="3" t="str">
        <f t="shared" si="4"/>
        <v>July</v>
      </c>
      <c r="AU18" s="36" t="s">
        <v>12</v>
      </c>
      <c r="AV18">
        <f t="shared" si="5"/>
        <v>22</v>
      </c>
      <c r="AW18">
        <f t="shared" si="6"/>
        <v>2</v>
      </c>
      <c r="AX18">
        <f t="shared" si="7"/>
        <v>3</v>
      </c>
      <c r="AY18">
        <f t="shared" si="8"/>
        <v>4</v>
      </c>
      <c r="AZ18">
        <f t="shared" si="9"/>
        <v>31</v>
      </c>
      <c r="BA18">
        <f t="shared" si="10"/>
        <v>29</v>
      </c>
      <c r="BB18" s="28">
        <v>35000</v>
      </c>
      <c r="BC18" s="29">
        <f t="shared" si="11"/>
        <v>1129.0322580645161</v>
      </c>
      <c r="BD18" s="28">
        <f t="shared" si="12"/>
        <v>2258.0645161290322</v>
      </c>
      <c r="BE18" s="28">
        <f t="shared" si="13"/>
        <v>32741.93548387097</v>
      </c>
    </row>
    <row r="19" spans="4:59" ht="15.6" x14ac:dyDescent="0.3">
      <c r="D19" s="42"/>
      <c r="E19" s="42"/>
      <c r="F19" s="42"/>
      <c r="G19" s="59">
        <v>11</v>
      </c>
      <c r="H19" s="10">
        <v>1011</v>
      </c>
      <c r="I19" s="11" t="s">
        <v>13</v>
      </c>
      <c r="J19" s="49">
        <f t="shared" si="3"/>
        <v>4</v>
      </c>
      <c r="K19" s="2" t="s">
        <v>43</v>
      </c>
      <c r="L19" s="2" t="s">
        <v>43</v>
      </c>
      <c r="M19" s="2" t="s">
        <v>43</v>
      </c>
      <c r="N19" s="2" t="s">
        <v>43</v>
      </c>
      <c r="O19" s="2" t="s">
        <v>43</v>
      </c>
      <c r="P19" s="2" t="str">
        <f t="shared" si="15"/>
        <v>WO</v>
      </c>
      <c r="Q19" s="2" t="s">
        <v>43</v>
      </c>
      <c r="R19" s="48" t="s">
        <v>41</v>
      </c>
      <c r="S19" s="2" t="s">
        <v>43</v>
      </c>
      <c r="T19" s="2" t="s">
        <v>43</v>
      </c>
      <c r="U19" s="2" t="s">
        <v>43</v>
      </c>
      <c r="V19" s="2" t="s">
        <v>43</v>
      </c>
      <c r="W19" s="2" t="str">
        <f t="shared" si="15"/>
        <v>WO</v>
      </c>
      <c r="X19" s="2" t="s">
        <v>43</v>
      </c>
      <c r="Y19" s="2" t="s">
        <v>43</v>
      </c>
      <c r="Z19" s="2" t="s">
        <v>43</v>
      </c>
      <c r="AA19" s="2" t="s">
        <v>43</v>
      </c>
      <c r="AB19" s="2" t="s">
        <v>43</v>
      </c>
      <c r="AC19" s="2" t="s">
        <v>43</v>
      </c>
      <c r="AD19" s="2" t="str">
        <f t="shared" si="14"/>
        <v>WO</v>
      </c>
      <c r="AE19" s="48" t="s">
        <v>41</v>
      </c>
      <c r="AF19" s="48" t="s">
        <v>41</v>
      </c>
      <c r="AG19" s="2" t="s">
        <v>43</v>
      </c>
      <c r="AH19" s="2" t="s">
        <v>43</v>
      </c>
      <c r="AI19" s="2" t="s">
        <v>43</v>
      </c>
      <c r="AJ19" s="2" t="s">
        <v>43</v>
      </c>
      <c r="AK19" s="2" t="str">
        <f t="shared" si="14"/>
        <v>WO</v>
      </c>
      <c r="AL19" s="2" t="s">
        <v>43</v>
      </c>
      <c r="AM19" s="2" t="s">
        <v>43</v>
      </c>
      <c r="AN19" s="2" t="s">
        <v>43</v>
      </c>
      <c r="AO19" s="76" t="s">
        <v>43</v>
      </c>
      <c r="AP19" s="42"/>
      <c r="AQ19" s="42"/>
      <c r="AR19" s="3">
        <v>11</v>
      </c>
      <c r="AS19" s="3">
        <v>1011</v>
      </c>
      <c r="AT19" s="3" t="str">
        <f t="shared" si="4"/>
        <v>July</v>
      </c>
      <c r="AU19" s="36" t="s">
        <v>13</v>
      </c>
      <c r="AV19">
        <f t="shared" si="5"/>
        <v>24</v>
      </c>
      <c r="AW19">
        <f t="shared" si="6"/>
        <v>0</v>
      </c>
      <c r="AX19">
        <f t="shared" si="7"/>
        <v>3</v>
      </c>
      <c r="AY19">
        <f t="shared" si="8"/>
        <v>4</v>
      </c>
      <c r="AZ19">
        <f t="shared" si="9"/>
        <v>31</v>
      </c>
      <c r="BA19">
        <f t="shared" si="10"/>
        <v>31</v>
      </c>
      <c r="BB19" s="28">
        <v>50000</v>
      </c>
      <c r="BC19" s="29">
        <f t="shared" si="11"/>
        <v>1612.9032258064517</v>
      </c>
      <c r="BD19" s="28">
        <f t="shared" si="12"/>
        <v>0</v>
      </c>
      <c r="BE19" s="28">
        <f t="shared" si="13"/>
        <v>50000</v>
      </c>
    </row>
    <row r="20" spans="4:59" ht="15.6" x14ac:dyDescent="0.3">
      <c r="D20" s="42"/>
      <c r="E20" s="42"/>
      <c r="F20" s="42"/>
      <c r="G20" s="59">
        <v>12</v>
      </c>
      <c r="H20" s="10">
        <v>1012</v>
      </c>
      <c r="I20" s="11" t="s">
        <v>14</v>
      </c>
      <c r="J20" s="49">
        <f t="shared" si="3"/>
        <v>4</v>
      </c>
      <c r="K20" s="2" t="s">
        <v>43</v>
      </c>
      <c r="L20" s="2" t="s">
        <v>43</v>
      </c>
      <c r="M20" s="2" t="s">
        <v>43</v>
      </c>
      <c r="N20" s="2" t="s">
        <v>43</v>
      </c>
      <c r="O20" s="2" t="s">
        <v>43</v>
      </c>
      <c r="P20" s="2" t="str">
        <f t="shared" si="15"/>
        <v>WO</v>
      </c>
      <c r="Q20" s="2" t="s">
        <v>43</v>
      </c>
      <c r="R20" s="48" t="s">
        <v>41</v>
      </c>
      <c r="S20" s="2" t="s">
        <v>43</v>
      </c>
      <c r="T20" s="2" t="s">
        <v>43</v>
      </c>
      <c r="U20" s="2" t="s">
        <v>43</v>
      </c>
      <c r="V20" s="2" t="s">
        <v>43</v>
      </c>
      <c r="W20" s="2" t="str">
        <f t="shared" si="15"/>
        <v>WO</v>
      </c>
      <c r="X20" s="2" t="s">
        <v>43</v>
      </c>
      <c r="Y20" s="2" t="s">
        <v>43</v>
      </c>
      <c r="Z20" s="2" t="s">
        <v>43</v>
      </c>
      <c r="AA20" s="2" t="s">
        <v>43</v>
      </c>
      <c r="AB20" s="2" t="s">
        <v>43</v>
      </c>
      <c r="AC20" s="2" t="s">
        <v>43</v>
      </c>
      <c r="AD20" s="2" t="str">
        <f t="shared" si="14"/>
        <v>WO</v>
      </c>
      <c r="AE20" s="48" t="s">
        <v>41</v>
      </c>
      <c r="AF20" s="48" t="s">
        <v>41</v>
      </c>
      <c r="AG20" s="2" t="s">
        <v>43</v>
      </c>
      <c r="AH20" s="2" t="s">
        <v>43</v>
      </c>
      <c r="AI20" s="2" t="s">
        <v>43</v>
      </c>
      <c r="AJ20" s="2" t="s">
        <v>43</v>
      </c>
      <c r="AK20" s="2" t="str">
        <f t="shared" si="14"/>
        <v>WO</v>
      </c>
      <c r="AL20" s="2" t="s">
        <v>43</v>
      </c>
      <c r="AM20" s="2" t="s">
        <v>43</v>
      </c>
      <c r="AN20" s="2" t="s">
        <v>43</v>
      </c>
      <c r="AO20" s="76" t="s">
        <v>43</v>
      </c>
      <c r="AP20" s="42"/>
      <c r="AQ20" s="42"/>
      <c r="AR20" s="3">
        <v>12</v>
      </c>
      <c r="AS20" s="3">
        <v>1012</v>
      </c>
      <c r="AT20" s="3" t="str">
        <f t="shared" si="4"/>
        <v>July</v>
      </c>
      <c r="AU20" s="36" t="s">
        <v>14</v>
      </c>
      <c r="AV20">
        <f t="shared" si="5"/>
        <v>24</v>
      </c>
      <c r="AW20">
        <f t="shared" si="6"/>
        <v>0</v>
      </c>
      <c r="AX20">
        <f t="shared" si="7"/>
        <v>3</v>
      </c>
      <c r="AY20">
        <f t="shared" si="8"/>
        <v>4</v>
      </c>
      <c r="AZ20">
        <f t="shared" si="9"/>
        <v>31</v>
      </c>
      <c r="BA20">
        <f t="shared" si="10"/>
        <v>31</v>
      </c>
      <c r="BB20" s="28">
        <v>29000</v>
      </c>
      <c r="BC20" s="29">
        <f t="shared" si="11"/>
        <v>935.48387096774195</v>
      </c>
      <c r="BD20" s="28">
        <f t="shared" si="12"/>
        <v>0</v>
      </c>
      <c r="BE20" s="28">
        <f t="shared" si="13"/>
        <v>29000</v>
      </c>
    </row>
    <row r="21" spans="4:59" ht="15.6" x14ac:dyDescent="0.3">
      <c r="D21" s="42"/>
      <c r="E21" s="42"/>
      <c r="F21" s="42"/>
      <c r="G21" s="59">
        <v>13</v>
      </c>
      <c r="H21" s="10">
        <v>1013</v>
      </c>
      <c r="I21" s="11" t="s">
        <v>15</v>
      </c>
      <c r="J21" s="49">
        <f t="shared" si="3"/>
        <v>4</v>
      </c>
      <c r="K21" s="2" t="s">
        <v>43</v>
      </c>
      <c r="L21" s="2" t="s">
        <v>43</v>
      </c>
      <c r="M21" s="2" t="s">
        <v>43</v>
      </c>
      <c r="N21" s="2" t="s">
        <v>43</v>
      </c>
      <c r="O21" s="2" t="s">
        <v>43</v>
      </c>
      <c r="P21" s="2" t="str">
        <f t="shared" si="15"/>
        <v>WO</v>
      </c>
      <c r="Q21" s="2" t="s">
        <v>43</v>
      </c>
      <c r="R21" s="48" t="s">
        <v>41</v>
      </c>
      <c r="S21" s="2" t="s">
        <v>44</v>
      </c>
      <c r="T21" s="2" t="s">
        <v>43</v>
      </c>
      <c r="U21" s="2" t="s">
        <v>43</v>
      </c>
      <c r="V21" s="2" t="s">
        <v>43</v>
      </c>
      <c r="W21" s="2" t="str">
        <f t="shared" si="15"/>
        <v>WO</v>
      </c>
      <c r="X21" s="2" t="s">
        <v>43</v>
      </c>
      <c r="Y21" s="2" t="s">
        <v>43</v>
      </c>
      <c r="Z21" s="2" t="s">
        <v>43</v>
      </c>
      <c r="AA21" s="2" t="s">
        <v>43</v>
      </c>
      <c r="AB21" s="2" t="s">
        <v>43</v>
      </c>
      <c r="AC21" s="2" t="s">
        <v>43</v>
      </c>
      <c r="AD21" s="2" t="str">
        <f t="shared" si="14"/>
        <v>WO</v>
      </c>
      <c r="AE21" s="48" t="s">
        <v>41</v>
      </c>
      <c r="AF21" s="48" t="s">
        <v>41</v>
      </c>
      <c r="AG21" s="2" t="s">
        <v>43</v>
      </c>
      <c r="AH21" s="2" t="s">
        <v>44</v>
      </c>
      <c r="AI21" s="2" t="s">
        <v>43</v>
      </c>
      <c r="AJ21" s="2" t="s">
        <v>43</v>
      </c>
      <c r="AK21" s="2" t="str">
        <f t="shared" si="14"/>
        <v>WO</v>
      </c>
      <c r="AL21" s="2" t="s">
        <v>43</v>
      </c>
      <c r="AM21" s="2" t="s">
        <v>43</v>
      </c>
      <c r="AN21" s="2" t="s">
        <v>43</v>
      </c>
      <c r="AO21" s="76" t="s">
        <v>43</v>
      </c>
      <c r="AP21" s="42"/>
      <c r="AQ21" s="42"/>
      <c r="AR21" s="3">
        <v>13</v>
      </c>
      <c r="AS21" s="3">
        <v>1013</v>
      </c>
      <c r="AT21" s="3" t="str">
        <f t="shared" si="4"/>
        <v>July</v>
      </c>
      <c r="AU21" s="36" t="s">
        <v>15</v>
      </c>
      <c r="AV21">
        <f t="shared" si="5"/>
        <v>22</v>
      </c>
      <c r="AW21">
        <f t="shared" si="6"/>
        <v>2</v>
      </c>
      <c r="AX21">
        <f t="shared" si="7"/>
        <v>3</v>
      </c>
      <c r="AY21">
        <f t="shared" si="8"/>
        <v>4</v>
      </c>
      <c r="AZ21">
        <f t="shared" si="9"/>
        <v>31</v>
      </c>
      <c r="BA21">
        <f t="shared" si="10"/>
        <v>29</v>
      </c>
      <c r="BB21" s="28">
        <v>37000</v>
      </c>
      <c r="BC21" s="29">
        <f t="shared" si="11"/>
        <v>1193.5483870967741</v>
      </c>
      <c r="BD21" s="28">
        <f t="shared" si="12"/>
        <v>2387.0967741935483</v>
      </c>
      <c r="BE21" s="28">
        <f t="shared" si="13"/>
        <v>34612.903225806454</v>
      </c>
    </row>
    <row r="22" spans="4:59" ht="15.6" x14ac:dyDescent="0.3">
      <c r="D22" s="42"/>
      <c r="E22" s="42"/>
      <c r="F22" s="42"/>
      <c r="G22" s="59">
        <v>14</v>
      </c>
      <c r="H22" s="10">
        <v>1014</v>
      </c>
      <c r="I22" s="11" t="s">
        <v>16</v>
      </c>
      <c r="J22" s="49">
        <f t="shared" si="3"/>
        <v>4</v>
      </c>
      <c r="K22" s="2" t="s">
        <v>43</v>
      </c>
      <c r="L22" s="2" t="s">
        <v>43</v>
      </c>
      <c r="M22" s="2" t="s">
        <v>43</v>
      </c>
      <c r="N22" s="2" t="s">
        <v>43</v>
      </c>
      <c r="O22" s="2" t="s">
        <v>43</v>
      </c>
      <c r="P22" s="2" t="str">
        <f t="shared" si="15"/>
        <v>WO</v>
      </c>
      <c r="Q22" s="2" t="s">
        <v>43</v>
      </c>
      <c r="R22" s="48" t="s">
        <v>41</v>
      </c>
      <c r="S22" s="2" t="s">
        <v>43</v>
      </c>
      <c r="T22" s="2" t="s">
        <v>43</v>
      </c>
      <c r="U22" s="2" t="s">
        <v>43</v>
      </c>
      <c r="V22" s="2" t="s">
        <v>43</v>
      </c>
      <c r="W22" s="2" t="str">
        <f t="shared" si="15"/>
        <v>WO</v>
      </c>
      <c r="X22" s="2" t="s">
        <v>43</v>
      </c>
      <c r="Y22" s="2" t="s">
        <v>43</v>
      </c>
      <c r="Z22" s="2" t="s">
        <v>44</v>
      </c>
      <c r="AA22" s="2" t="s">
        <v>43</v>
      </c>
      <c r="AB22" s="2" t="s">
        <v>43</v>
      </c>
      <c r="AC22" s="2" t="s">
        <v>43</v>
      </c>
      <c r="AD22" s="2" t="str">
        <f t="shared" si="14"/>
        <v>WO</v>
      </c>
      <c r="AE22" s="48" t="s">
        <v>41</v>
      </c>
      <c r="AF22" s="48" t="s">
        <v>41</v>
      </c>
      <c r="AG22" s="2" t="s">
        <v>43</v>
      </c>
      <c r="AH22" s="2" t="s">
        <v>43</v>
      </c>
      <c r="AI22" s="2" t="s">
        <v>43</v>
      </c>
      <c r="AJ22" s="2" t="s">
        <v>43</v>
      </c>
      <c r="AK22" s="2" t="str">
        <f t="shared" si="14"/>
        <v>WO</v>
      </c>
      <c r="AL22" s="2" t="s">
        <v>43</v>
      </c>
      <c r="AM22" s="2" t="s">
        <v>43</v>
      </c>
      <c r="AN22" s="2" t="s">
        <v>43</v>
      </c>
      <c r="AO22" s="76" t="s">
        <v>43</v>
      </c>
      <c r="AP22" s="42"/>
      <c r="AQ22" s="42"/>
      <c r="AR22" s="3">
        <v>14</v>
      </c>
      <c r="AS22" s="3">
        <v>1014</v>
      </c>
      <c r="AT22" s="3" t="str">
        <f t="shared" si="4"/>
        <v>July</v>
      </c>
      <c r="AU22" s="36" t="s">
        <v>16</v>
      </c>
      <c r="AV22">
        <f t="shared" si="5"/>
        <v>23</v>
      </c>
      <c r="AW22">
        <f t="shared" si="6"/>
        <v>1</v>
      </c>
      <c r="AX22">
        <f t="shared" si="7"/>
        <v>3</v>
      </c>
      <c r="AY22">
        <f t="shared" si="8"/>
        <v>4</v>
      </c>
      <c r="AZ22">
        <f t="shared" si="9"/>
        <v>31</v>
      </c>
      <c r="BA22">
        <f t="shared" si="10"/>
        <v>30</v>
      </c>
      <c r="BB22" s="28">
        <v>41000</v>
      </c>
      <c r="BC22" s="29">
        <f t="shared" si="11"/>
        <v>1322.5806451612902</v>
      </c>
      <c r="BD22" s="28">
        <f t="shared" si="12"/>
        <v>1322.5806451612902</v>
      </c>
      <c r="BE22" s="28">
        <f t="shared" si="13"/>
        <v>39677.419354838712</v>
      </c>
    </row>
    <row r="23" spans="4:59" ht="15.6" x14ac:dyDescent="0.3">
      <c r="D23" s="42"/>
      <c r="E23" s="42"/>
      <c r="F23" s="42"/>
      <c r="G23" s="59">
        <v>15</v>
      </c>
      <c r="H23" s="10">
        <v>1015</v>
      </c>
      <c r="I23" s="11" t="s">
        <v>17</v>
      </c>
      <c r="J23" s="49">
        <f t="shared" si="3"/>
        <v>4</v>
      </c>
      <c r="K23" s="2" t="s">
        <v>44</v>
      </c>
      <c r="L23" s="2" t="s">
        <v>43</v>
      </c>
      <c r="M23" s="2" t="s">
        <v>43</v>
      </c>
      <c r="N23" s="2" t="s">
        <v>43</v>
      </c>
      <c r="O23" s="2" t="s">
        <v>43</v>
      </c>
      <c r="P23" s="2" t="str">
        <f t="shared" si="15"/>
        <v>WO</v>
      </c>
      <c r="Q23" s="2" t="s">
        <v>43</v>
      </c>
      <c r="R23" s="48" t="s">
        <v>41</v>
      </c>
      <c r="S23" s="2" t="s">
        <v>43</v>
      </c>
      <c r="T23" s="2" t="s">
        <v>43</v>
      </c>
      <c r="U23" s="2" t="s">
        <v>43</v>
      </c>
      <c r="V23" s="2" t="s">
        <v>43</v>
      </c>
      <c r="W23" s="2" t="str">
        <f t="shared" si="15"/>
        <v>WO</v>
      </c>
      <c r="X23" s="2" t="s">
        <v>43</v>
      </c>
      <c r="Y23" s="2" t="s">
        <v>43</v>
      </c>
      <c r="Z23" s="2" t="s">
        <v>43</v>
      </c>
      <c r="AA23" s="2" t="s">
        <v>43</v>
      </c>
      <c r="AB23" s="2" t="s">
        <v>43</v>
      </c>
      <c r="AC23" s="2" t="s">
        <v>43</v>
      </c>
      <c r="AD23" s="2" t="str">
        <f t="shared" si="14"/>
        <v>WO</v>
      </c>
      <c r="AE23" s="48" t="s">
        <v>41</v>
      </c>
      <c r="AF23" s="48" t="s">
        <v>41</v>
      </c>
      <c r="AG23" s="2" t="s">
        <v>43</v>
      </c>
      <c r="AH23" s="2" t="s">
        <v>43</v>
      </c>
      <c r="AI23" s="2" t="s">
        <v>43</v>
      </c>
      <c r="AJ23" s="2" t="s">
        <v>43</v>
      </c>
      <c r="AK23" s="2" t="str">
        <f t="shared" si="14"/>
        <v>WO</v>
      </c>
      <c r="AL23" s="2" t="s">
        <v>43</v>
      </c>
      <c r="AM23" s="2" t="s">
        <v>43</v>
      </c>
      <c r="AN23" s="2" t="s">
        <v>43</v>
      </c>
      <c r="AO23" s="76" t="s">
        <v>43</v>
      </c>
      <c r="AP23" s="42"/>
      <c r="AQ23" s="42"/>
      <c r="AR23" s="3">
        <v>15</v>
      </c>
      <c r="AS23" s="3">
        <v>1015</v>
      </c>
      <c r="AT23" s="3" t="str">
        <f t="shared" si="4"/>
        <v>July</v>
      </c>
      <c r="AU23" s="36" t="s">
        <v>17</v>
      </c>
      <c r="AV23">
        <f t="shared" si="5"/>
        <v>23</v>
      </c>
      <c r="AW23">
        <f t="shared" si="6"/>
        <v>1</v>
      </c>
      <c r="AX23">
        <f t="shared" si="7"/>
        <v>3</v>
      </c>
      <c r="AY23">
        <f t="shared" si="8"/>
        <v>4</v>
      </c>
      <c r="AZ23">
        <f t="shared" si="9"/>
        <v>31</v>
      </c>
      <c r="BA23">
        <f t="shared" si="10"/>
        <v>30</v>
      </c>
      <c r="BB23" s="28">
        <v>45000</v>
      </c>
      <c r="BC23" s="29">
        <f t="shared" si="11"/>
        <v>1451.6129032258063</v>
      </c>
      <c r="BD23" s="28">
        <f t="shared" si="12"/>
        <v>1451.6129032258063</v>
      </c>
      <c r="BE23" s="28">
        <f t="shared" si="13"/>
        <v>43548.387096774197</v>
      </c>
    </row>
    <row r="24" spans="4:59" ht="15.6" x14ac:dyDescent="0.3">
      <c r="D24" s="42"/>
      <c r="E24" s="42"/>
      <c r="F24" s="42"/>
      <c r="G24" s="59">
        <v>16</v>
      </c>
      <c r="H24" s="10">
        <v>1016</v>
      </c>
      <c r="I24" s="11" t="s">
        <v>18</v>
      </c>
      <c r="J24" s="49">
        <f t="shared" si="3"/>
        <v>4</v>
      </c>
      <c r="K24" s="2" t="s">
        <v>43</v>
      </c>
      <c r="L24" s="2" t="s">
        <v>43</v>
      </c>
      <c r="M24" s="2" t="s">
        <v>43</v>
      </c>
      <c r="N24" s="2" t="s">
        <v>43</v>
      </c>
      <c r="O24" s="2" t="s">
        <v>43</v>
      </c>
      <c r="P24" s="2" t="str">
        <f t="shared" si="15"/>
        <v>WO</v>
      </c>
      <c r="Q24" s="2" t="s">
        <v>43</v>
      </c>
      <c r="R24" s="48" t="s">
        <v>41</v>
      </c>
      <c r="S24" s="2" t="s">
        <v>43</v>
      </c>
      <c r="T24" s="2" t="s">
        <v>43</v>
      </c>
      <c r="U24" s="2" t="s">
        <v>43</v>
      </c>
      <c r="V24" s="2" t="s">
        <v>43</v>
      </c>
      <c r="W24" s="2" t="str">
        <f t="shared" si="15"/>
        <v>WO</v>
      </c>
      <c r="X24" s="2" t="s">
        <v>43</v>
      </c>
      <c r="Y24" s="2" t="s">
        <v>43</v>
      </c>
      <c r="Z24" s="2" t="s">
        <v>43</v>
      </c>
      <c r="AA24" s="2" t="s">
        <v>44</v>
      </c>
      <c r="AB24" s="2" t="s">
        <v>43</v>
      </c>
      <c r="AC24" s="2" t="s">
        <v>43</v>
      </c>
      <c r="AD24" s="2" t="str">
        <f t="shared" si="14"/>
        <v>WO</v>
      </c>
      <c r="AE24" s="48" t="s">
        <v>41</v>
      </c>
      <c r="AF24" s="48" t="s">
        <v>41</v>
      </c>
      <c r="AG24" s="2" t="s">
        <v>43</v>
      </c>
      <c r="AH24" s="2" t="s">
        <v>43</v>
      </c>
      <c r="AI24" s="2" t="s">
        <v>43</v>
      </c>
      <c r="AJ24" s="2" t="s">
        <v>43</v>
      </c>
      <c r="AK24" s="2" t="str">
        <f t="shared" si="14"/>
        <v>WO</v>
      </c>
      <c r="AL24" s="2" t="s">
        <v>44</v>
      </c>
      <c r="AM24" s="2" t="s">
        <v>43</v>
      </c>
      <c r="AN24" s="2" t="s">
        <v>43</v>
      </c>
      <c r="AO24" s="76" t="s">
        <v>43</v>
      </c>
      <c r="AP24" s="42"/>
      <c r="AQ24" s="42"/>
      <c r="AR24" s="3">
        <v>16</v>
      </c>
      <c r="AS24" s="3">
        <v>1016</v>
      </c>
      <c r="AT24" s="3" t="str">
        <f t="shared" si="4"/>
        <v>July</v>
      </c>
      <c r="AU24" s="36" t="s">
        <v>18</v>
      </c>
      <c r="AV24">
        <f t="shared" si="5"/>
        <v>22</v>
      </c>
      <c r="AW24">
        <f t="shared" si="6"/>
        <v>2</v>
      </c>
      <c r="AX24">
        <f t="shared" si="7"/>
        <v>3</v>
      </c>
      <c r="AY24">
        <f t="shared" si="8"/>
        <v>4</v>
      </c>
      <c r="AZ24">
        <f t="shared" si="9"/>
        <v>31</v>
      </c>
      <c r="BA24">
        <f t="shared" si="10"/>
        <v>29</v>
      </c>
      <c r="BB24" s="28">
        <v>21000</v>
      </c>
      <c r="BC24" s="29">
        <f t="shared" si="11"/>
        <v>677.41935483870964</v>
      </c>
      <c r="BD24" s="28">
        <f t="shared" si="12"/>
        <v>1354.8387096774193</v>
      </c>
      <c r="BE24" s="28">
        <f t="shared" si="13"/>
        <v>19645.16129032258</v>
      </c>
    </row>
    <row r="25" spans="4:59" ht="15.6" x14ac:dyDescent="0.3">
      <c r="D25" s="42"/>
      <c r="E25" s="42"/>
      <c r="F25" s="42"/>
      <c r="G25" s="59">
        <v>17</v>
      </c>
      <c r="H25" s="10">
        <v>1017</v>
      </c>
      <c r="I25" s="11" t="s">
        <v>19</v>
      </c>
      <c r="J25" s="49">
        <f t="shared" si="3"/>
        <v>4</v>
      </c>
      <c r="K25" s="2" t="s">
        <v>43</v>
      </c>
      <c r="L25" s="2" t="s">
        <v>43</v>
      </c>
      <c r="M25" s="2" t="s">
        <v>43</v>
      </c>
      <c r="N25" s="2" t="s">
        <v>43</v>
      </c>
      <c r="O25" s="2" t="s">
        <v>43</v>
      </c>
      <c r="P25" s="2" t="str">
        <f t="shared" si="15"/>
        <v>WO</v>
      </c>
      <c r="Q25" s="2" t="s">
        <v>43</v>
      </c>
      <c r="R25" s="48" t="s">
        <v>41</v>
      </c>
      <c r="S25" s="2" t="s">
        <v>43</v>
      </c>
      <c r="T25" s="2" t="s">
        <v>43</v>
      </c>
      <c r="U25" s="2" t="s">
        <v>43</v>
      </c>
      <c r="V25" s="2" t="s">
        <v>43</v>
      </c>
      <c r="W25" s="2" t="str">
        <f t="shared" si="15"/>
        <v>WO</v>
      </c>
      <c r="X25" s="2" t="s">
        <v>43</v>
      </c>
      <c r="Y25" s="2" t="s">
        <v>43</v>
      </c>
      <c r="Z25" s="2" t="s">
        <v>43</v>
      </c>
      <c r="AA25" s="2" t="s">
        <v>43</v>
      </c>
      <c r="AB25" s="2" t="s">
        <v>43</v>
      </c>
      <c r="AC25" s="2" t="s">
        <v>43</v>
      </c>
      <c r="AD25" s="2" t="str">
        <f t="shared" si="14"/>
        <v>WO</v>
      </c>
      <c r="AE25" s="48" t="s">
        <v>41</v>
      </c>
      <c r="AF25" s="48" t="s">
        <v>41</v>
      </c>
      <c r="AG25" s="2" t="s">
        <v>43</v>
      </c>
      <c r="AH25" s="2" t="s">
        <v>43</v>
      </c>
      <c r="AI25" s="2" t="s">
        <v>43</v>
      </c>
      <c r="AJ25" s="2" t="s">
        <v>43</v>
      </c>
      <c r="AK25" s="2" t="str">
        <f t="shared" si="14"/>
        <v>WO</v>
      </c>
      <c r="AL25" s="2" t="s">
        <v>43</v>
      </c>
      <c r="AM25" s="2" t="s">
        <v>43</v>
      </c>
      <c r="AN25" s="2" t="s">
        <v>43</v>
      </c>
      <c r="AO25" s="76" t="s">
        <v>43</v>
      </c>
      <c r="AP25" s="42"/>
      <c r="AQ25" s="42"/>
      <c r="AR25" s="3">
        <v>17</v>
      </c>
      <c r="AS25" s="3">
        <v>1017</v>
      </c>
      <c r="AT25" s="3" t="str">
        <f t="shared" si="4"/>
        <v>July</v>
      </c>
      <c r="AU25" s="36" t="s">
        <v>19</v>
      </c>
      <c r="AV25">
        <f t="shared" si="5"/>
        <v>24</v>
      </c>
      <c r="AW25">
        <f t="shared" si="6"/>
        <v>0</v>
      </c>
      <c r="AX25">
        <f t="shared" si="7"/>
        <v>3</v>
      </c>
      <c r="AY25">
        <f t="shared" si="8"/>
        <v>4</v>
      </c>
      <c r="AZ25">
        <f t="shared" si="9"/>
        <v>31</v>
      </c>
      <c r="BA25">
        <f t="shared" si="10"/>
        <v>31</v>
      </c>
      <c r="BB25" s="28">
        <v>26000</v>
      </c>
      <c r="BC25" s="29">
        <f t="shared" si="11"/>
        <v>838.70967741935488</v>
      </c>
      <c r="BD25" s="28">
        <f t="shared" si="12"/>
        <v>0</v>
      </c>
      <c r="BE25" s="28">
        <f t="shared" si="13"/>
        <v>26000</v>
      </c>
    </row>
    <row r="26" spans="4:59" ht="15.6" x14ac:dyDescent="0.3">
      <c r="D26" s="42"/>
      <c r="E26" s="42"/>
      <c r="F26" s="42"/>
      <c r="G26" s="59">
        <v>18</v>
      </c>
      <c r="H26" s="10">
        <v>1018</v>
      </c>
      <c r="I26" s="11" t="s">
        <v>20</v>
      </c>
      <c r="J26" s="49">
        <f t="shared" si="3"/>
        <v>4</v>
      </c>
      <c r="K26" s="2" t="s">
        <v>43</v>
      </c>
      <c r="L26" s="2" t="s">
        <v>43</v>
      </c>
      <c r="M26" s="2" t="s">
        <v>43</v>
      </c>
      <c r="N26" s="2" t="s">
        <v>43</v>
      </c>
      <c r="O26" s="2" t="s">
        <v>43</v>
      </c>
      <c r="P26" s="2" t="str">
        <f t="shared" si="15"/>
        <v>WO</v>
      </c>
      <c r="Q26" s="2" t="s">
        <v>43</v>
      </c>
      <c r="R26" s="48" t="s">
        <v>41</v>
      </c>
      <c r="S26" s="2" t="s">
        <v>43</v>
      </c>
      <c r="T26" s="2" t="s">
        <v>43</v>
      </c>
      <c r="U26" s="2" t="s">
        <v>43</v>
      </c>
      <c r="V26" s="2" t="s">
        <v>43</v>
      </c>
      <c r="W26" s="2" t="str">
        <f t="shared" si="15"/>
        <v>WO</v>
      </c>
      <c r="X26" s="2" t="s">
        <v>43</v>
      </c>
      <c r="Y26" s="2" t="s">
        <v>43</v>
      </c>
      <c r="Z26" s="2" t="s">
        <v>43</v>
      </c>
      <c r="AA26" s="2" t="s">
        <v>43</v>
      </c>
      <c r="AB26" s="2" t="s">
        <v>43</v>
      </c>
      <c r="AC26" s="2" t="s">
        <v>43</v>
      </c>
      <c r="AD26" s="2" t="str">
        <f t="shared" si="14"/>
        <v>WO</v>
      </c>
      <c r="AE26" s="48" t="s">
        <v>41</v>
      </c>
      <c r="AF26" s="48" t="s">
        <v>41</v>
      </c>
      <c r="AG26" s="2" t="s">
        <v>43</v>
      </c>
      <c r="AH26" s="2" t="s">
        <v>43</v>
      </c>
      <c r="AI26" s="2" t="s">
        <v>43</v>
      </c>
      <c r="AJ26" s="2" t="s">
        <v>43</v>
      </c>
      <c r="AK26" s="2" t="str">
        <f t="shared" si="14"/>
        <v>WO</v>
      </c>
      <c r="AL26" s="2" t="s">
        <v>43</v>
      </c>
      <c r="AM26" s="2" t="s">
        <v>43</v>
      </c>
      <c r="AN26" s="2" t="s">
        <v>43</v>
      </c>
      <c r="AO26" s="76" t="s">
        <v>43</v>
      </c>
      <c r="AP26" s="42"/>
      <c r="AQ26" s="42"/>
      <c r="AR26" s="3">
        <v>18</v>
      </c>
      <c r="AS26" s="3">
        <v>1018</v>
      </c>
      <c r="AT26" s="3" t="str">
        <f t="shared" si="4"/>
        <v>July</v>
      </c>
      <c r="AU26" s="36" t="s">
        <v>20</v>
      </c>
      <c r="AV26">
        <f t="shared" si="5"/>
        <v>24</v>
      </c>
      <c r="AW26">
        <f t="shared" si="6"/>
        <v>0</v>
      </c>
      <c r="AX26">
        <f t="shared" si="7"/>
        <v>3</v>
      </c>
      <c r="AY26">
        <f t="shared" si="8"/>
        <v>4</v>
      </c>
      <c r="AZ26">
        <f t="shared" si="9"/>
        <v>31</v>
      </c>
      <c r="BA26">
        <f t="shared" si="10"/>
        <v>31</v>
      </c>
      <c r="BB26" s="28">
        <v>35000</v>
      </c>
      <c r="BC26" s="29">
        <f t="shared" si="11"/>
        <v>1129.0322580645161</v>
      </c>
      <c r="BD26" s="28">
        <f t="shared" si="12"/>
        <v>0</v>
      </c>
      <c r="BE26" s="28">
        <f t="shared" si="13"/>
        <v>35000</v>
      </c>
    </row>
    <row r="27" spans="4:59" ht="15.6" x14ac:dyDescent="0.3">
      <c r="D27" s="42"/>
      <c r="E27" s="42"/>
      <c r="F27" s="42"/>
      <c r="G27" s="59">
        <v>19</v>
      </c>
      <c r="H27" s="10">
        <v>1019</v>
      </c>
      <c r="I27" s="11" t="s">
        <v>21</v>
      </c>
      <c r="J27" s="49">
        <f t="shared" si="3"/>
        <v>4</v>
      </c>
      <c r="K27" s="2" t="s">
        <v>43</v>
      </c>
      <c r="L27" s="2" t="s">
        <v>43</v>
      </c>
      <c r="M27" s="2" t="s">
        <v>43</v>
      </c>
      <c r="N27" s="2" t="s">
        <v>43</v>
      </c>
      <c r="O27" s="2" t="s">
        <v>43</v>
      </c>
      <c r="P27" s="2" t="str">
        <f t="shared" si="15"/>
        <v>WO</v>
      </c>
      <c r="Q27" s="2" t="s">
        <v>43</v>
      </c>
      <c r="R27" s="48" t="s">
        <v>41</v>
      </c>
      <c r="S27" s="2" t="s">
        <v>43</v>
      </c>
      <c r="T27" s="2" t="s">
        <v>43</v>
      </c>
      <c r="U27" s="2" t="s">
        <v>44</v>
      </c>
      <c r="V27" s="2" t="s">
        <v>43</v>
      </c>
      <c r="W27" s="2" t="str">
        <f t="shared" si="15"/>
        <v>WO</v>
      </c>
      <c r="X27" s="2" t="s">
        <v>43</v>
      </c>
      <c r="Y27" s="2" t="s">
        <v>43</v>
      </c>
      <c r="Z27" s="2" t="s">
        <v>43</v>
      </c>
      <c r="AA27" s="2" t="s">
        <v>43</v>
      </c>
      <c r="AB27" s="2" t="s">
        <v>43</v>
      </c>
      <c r="AC27" s="2" t="s">
        <v>43</v>
      </c>
      <c r="AD27" s="2" t="str">
        <f t="shared" si="14"/>
        <v>WO</v>
      </c>
      <c r="AE27" s="48" t="s">
        <v>41</v>
      </c>
      <c r="AF27" s="48" t="s">
        <v>41</v>
      </c>
      <c r="AG27" s="2" t="s">
        <v>43</v>
      </c>
      <c r="AH27" s="2" t="s">
        <v>43</v>
      </c>
      <c r="AI27" s="2" t="s">
        <v>43</v>
      </c>
      <c r="AJ27" s="2" t="s">
        <v>43</v>
      </c>
      <c r="AK27" s="2" t="str">
        <f t="shared" si="14"/>
        <v>WO</v>
      </c>
      <c r="AL27" s="2" t="s">
        <v>43</v>
      </c>
      <c r="AM27" s="2" t="s">
        <v>43</v>
      </c>
      <c r="AN27" s="2" t="s">
        <v>43</v>
      </c>
      <c r="AO27" s="76" t="s">
        <v>43</v>
      </c>
      <c r="AP27" s="42"/>
      <c r="AQ27" s="42"/>
      <c r="AR27" s="3">
        <v>19</v>
      </c>
      <c r="AS27" s="3">
        <v>1019</v>
      </c>
      <c r="AT27" s="3" t="str">
        <f t="shared" si="4"/>
        <v>July</v>
      </c>
      <c r="AU27" s="36" t="s">
        <v>21</v>
      </c>
      <c r="AV27">
        <f t="shared" si="5"/>
        <v>23</v>
      </c>
      <c r="AW27">
        <f t="shared" si="6"/>
        <v>1</v>
      </c>
      <c r="AX27">
        <f t="shared" si="7"/>
        <v>3</v>
      </c>
      <c r="AY27">
        <f t="shared" si="8"/>
        <v>4</v>
      </c>
      <c r="AZ27">
        <f t="shared" si="9"/>
        <v>31</v>
      </c>
      <c r="BA27">
        <f t="shared" si="10"/>
        <v>30</v>
      </c>
      <c r="BB27" s="28">
        <v>55000</v>
      </c>
      <c r="BC27" s="29">
        <f t="shared" si="11"/>
        <v>1774.1935483870968</v>
      </c>
      <c r="BD27" s="28">
        <f t="shared" si="12"/>
        <v>1774.1935483870968</v>
      </c>
      <c r="BE27" s="28">
        <f t="shared" si="13"/>
        <v>53225.806451612902</v>
      </c>
    </row>
    <row r="28" spans="4:59" ht="16.2" thickBot="1" x14ac:dyDescent="0.35">
      <c r="D28" s="42"/>
      <c r="E28" s="42"/>
      <c r="F28" s="42"/>
      <c r="G28" s="61">
        <v>20</v>
      </c>
      <c r="H28" s="62">
        <v>1020</v>
      </c>
      <c r="I28" s="63" t="s">
        <v>22</v>
      </c>
      <c r="J28" s="64">
        <f t="shared" si="3"/>
        <v>4</v>
      </c>
      <c r="K28" s="66" t="s">
        <v>43</v>
      </c>
      <c r="L28" s="66" t="s">
        <v>43</v>
      </c>
      <c r="M28" s="66" t="s">
        <v>43</v>
      </c>
      <c r="N28" s="66" t="s">
        <v>44</v>
      </c>
      <c r="O28" s="66" t="s">
        <v>43</v>
      </c>
      <c r="P28" s="66" t="str">
        <f t="shared" si="15"/>
        <v>WO</v>
      </c>
      <c r="Q28" s="66" t="s">
        <v>43</v>
      </c>
      <c r="R28" s="65" t="s">
        <v>41</v>
      </c>
      <c r="S28" s="66" t="s">
        <v>44</v>
      </c>
      <c r="T28" s="66" t="s">
        <v>43</v>
      </c>
      <c r="U28" s="66" t="s">
        <v>43</v>
      </c>
      <c r="V28" s="66" t="s">
        <v>43</v>
      </c>
      <c r="W28" s="66" t="str">
        <f t="shared" si="15"/>
        <v>WO</v>
      </c>
      <c r="X28" s="66" t="s">
        <v>44</v>
      </c>
      <c r="Y28" s="66" t="s">
        <v>43</v>
      </c>
      <c r="Z28" s="66" t="s">
        <v>43</v>
      </c>
      <c r="AA28" s="66" t="s">
        <v>43</v>
      </c>
      <c r="AB28" s="66" t="s">
        <v>44</v>
      </c>
      <c r="AC28" s="66" t="s">
        <v>43</v>
      </c>
      <c r="AD28" s="66" t="str">
        <f t="shared" si="14"/>
        <v>WO</v>
      </c>
      <c r="AE28" s="65" t="s">
        <v>41</v>
      </c>
      <c r="AF28" s="65" t="s">
        <v>41</v>
      </c>
      <c r="AG28" s="66" t="s">
        <v>44</v>
      </c>
      <c r="AH28" s="66" t="s">
        <v>43</v>
      </c>
      <c r="AI28" s="66" t="s">
        <v>43</v>
      </c>
      <c r="AJ28" s="66" t="s">
        <v>43</v>
      </c>
      <c r="AK28" s="66" t="str">
        <f t="shared" si="14"/>
        <v>WO</v>
      </c>
      <c r="AL28" s="66" t="s">
        <v>43</v>
      </c>
      <c r="AM28" s="66" t="s">
        <v>43</v>
      </c>
      <c r="AN28" s="66" t="s">
        <v>43</v>
      </c>
      <c r="AO28" s="77" t="s">
        <v>43</v>
      </c>
      <c r="AP28" s="42"/>
      <c r="AQ28" s="42"/>
      <c r="AR28" s="37">
        <v>20</v>
      </c>
      <c r="AS28" s="37">
        <v>1020</v>
      </c>
      <c r="AT28" s="37" t="str">
        <f t="shared" si="4"/>
        <v>July</v>
      </c>
      <c r="AU28" s="38" t="s">
        <v>22</v>
      </c>
      <c r="AV28" s="33">
        <f t="shared" si="5"/>
        <v>19</v>
      </c>
      <c r="AW28" s="33">
        <f t="shared" si="6"/>
        <v>5</v>
      </c>
      <c r="AX28" s="33">
        <f t="shared" si="7"/>
        <v>3</v>
      </c>
      <c r="AY28" s="33">
        <f t="shared" si="8"/>
        <v>4</v>
      </c>
      <c r="AZ28" s="33">
        <f t="shared" si="9"/>
        <v>31</v>
      </c>
      <c r="BA28" s="33">
        <f t="shared" si="10"/>
        <v>26</v>
      </c>
      <c r="BB28" s="34">
        <v>44000</v>
      </c>
      <c r="BC28" s="35">
        <f t="shared" si="11"/>
        <v>1419.3548387096773</v>
      </c>
      <c r="BD28" s="34">
        <f t="shared" si="12"/>
        <v>7096.7741935483864</v>
      </c>
      <c r="BE28" s="34">
        <f t="shared" si="13"/>
        <v>36903.225806451614</v>
      </c>
    </row>
    <row r="29" spans="4:59" x14ac:dyDescent="0.3"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</row>
    <row r="30" spans="4:59" x14ac:dyDescent="0.3"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</row>
    <row r="31" spans="4:59" x14ac:dyDescent="0.3"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</row>
    <row r="32" spans="4:59" x14ac:dyDescent="0.3"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</row>
    <row r="33" spans="4:59" x14ac:dyDescent="0.3"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</row>
    <row r="34" spans="4:59" x14ac:dyDescent="0.3"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4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</row>
    <row r="35" spans="4:59" x14ac:dyDescent="0.3"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</row>
    <row r="36" spans="4:59" x14ac:dyDescent="0.3"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</row>
    <row r="37" spans="4:59" x14ac:dyDescent="0.3"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</row>
    <row r="38" spans="4:59" x14ac:dyDescent="0.3"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</row>
    <row r="39" spans="4:59" x14ac:dyDescent="0.3"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</row>
    <row r="40" spans="4:59" x14ac:dyDescent="0.3"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</row>
    <row r="41" spans="4:59" x14ac:dyDescent="0.3"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</row>
    <row r="42" spans="4:59" x14ac:dyDescent="0.3"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</row>
    <row r="43" spans="4:59" x14ac:dyDescent="0.3"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</row>
    <row r="44" spans="4:59" x14ac:dyDescent="0.3"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</row>
  </sheetData>
  <mergeCells count="1">
    <mergeCell ref="G7:I7"/>
  </mergeCells>
  <conditionalFormatting sqref="K9:AO28">
    <cfRule type="containsText" dxfId="23" priority="1" operator="containsText" text="L">
      <formula>NOT(ISERROR(SEARCH("L",K9)))</formula>
    </cfRule>
    <cfRule type="containsText" dxfId="22" priority="2" operator="containsText" text="A">
      <formula>NOT(ISERROR(SEARCH("A",K9)))</formula>
    </cfRule>
    <cfRule type="containsText" dxfId="21" priority="3" operator="containsText" text="P">
      <formula>NOT(ISERROR(SEARCH("P",K9)))</formula>
    </cfRule>
    <cfRule type="containsText" dxfId="20" priority="4" operator="containsText" text="WO">
      <formula>NOT(ISERROR(SEARCH("WO",K9)))</formula>
    </cfRule>
  </conditionalFormatting>
  <dataValidations count="1">
    <dataValidation type="list" allowBlank="1" showInputMessage="1" showErrorMessage="1" sqref="K9:O28 AL9:AO28 X9:AC28 Q9:V28 AE9:AJ28" xr:uid="{75E46572-B7CC-40F6-8B2B-E0817BA7E88A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E03C7F-CDF3-4EA7-971D-93C232409DF2}">
          <x14:formula1>
            <xm:f>Rough!$A$1:$A$12</xm:f>
          </x14:formula1>
          <xm:sqref>H5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77DC7-EA59-4798-8F46-FC7CBEDEB947}">
  <dimension ref="D1:BG44"/>
  <sheetViews>
    <sheetView topLeftCell="A18" zoomScaleNormal="100" workbookViewId="0"/>
  </sheetViews>
  <sheetFormatPr defaultRowHeight="14.4" x14ac:dyDescent="0.3"/>
  <cols>
    <col min="7" max="7" width="9.6640625" customWidth="1"/>
    <col min="8" max="8" width="14.88671875" customWidth="1"/>
    <col min="9" max="9" width="20.21875" customWidth="1"/>
    <col min="10" max="10" width="10.44140625" bestFit="1" customWidth="1"/>
    <col min="11" max="11" width="4.33203125" bestFit="1" customWidth="1"/>
    <col min="12" max="12" width="4.6640625" bestFit="1" customWidth="1"/>
    <col min="13" max="13" width="5.44140625" bestFit="1" customWidth="1"/>
    <col min="14" max="14" width="5.88671875" bestFit="1" customWidth="1"/>
    <col min="15" max="15" width="5.33203125" bestFit="1" customWidth="1"/>
    <col min="16" max="16" width="5.6640625" bestFit="1" customWidth="1"/>
    <col min="17" max="17" width="5.44140625" bestFit="1" customWidth="1"/>
    <col min="18" max="18" width="4.33203125" bestFit="1" customWidth="1"/>
    <col min="19" max="19" width="4.6640625" bestFit="1" customWidth="1"/>
    <col min="20" max="20" width="5.44140625" bestFit="1" customWidth="1"/>
    <col min="21" max="21" width="5.88671875" bestFit="1" customWidth="1"/>
    <col min="22" max="22" width="5.33203125" bestFit="1" customWidth="1"/>
    <col min="23" max="23" width="5.6640625" bestFit="1" customWidth="1"/>
    <col min="24" max="24" width="5.44140625" bestFit="1" customWidth="1"/>
    <col min="25" max="25" width="4.33203125" bestFit="1" customWidth="1"/>
    <col min="26" max="26" width="4.6640625" bestFit="1" customWidth="1"/>
    <col min="27" max="27" width="5.44140625" bestFit="1" customWidth="1"/>
    <col min="28" max="28" width="5.88671875" bestFit="1" customWidth="1"/>
    <col min="29" max="29" width="5.33203125" bestFit="1" customWidth="1"/>
    <col min="30" max="30" width="5.6640625" bestFit="1" customWidth="1"/>
    <col min="31" max="31" width="5.44140625" bestFit="1" customWidth="1"/>
    <col min="32" max="32" width="4.33203125" bestFit="1" customWidth="1"/>
    <col min="33" max="33" width="4.6640625" bestFit="1" customWidth="1"/>
    <col min="34" max="34" width="5.44140625" bestFit="1" customWidth="1"/>
    <col min="35" max="35" width="5.88671875" bestFit="1" customWidth="1"/>
    <col min="36" max="36" width="5.33203125" bestFit="1" customWidth="1"/>
    <col min="37" max="37" width="5.6640625" bestFit="1" customWidth="1"/>
    <col min="38" max="38" width="5.44140625" bestFit="1" customWidth="1"/>
    <col min="39" max="39" width="4.33203125" bestFit="1" customWidth="1"/>
    <col min="40" max="40" width="4.6640625" bestFit="1" customWidth="1"/>
    <col min="41" max="41" width="5.44140625" bestFit="1" customWidth="1"/>
    <col min="44" max="44" width="7" customWidth="1"/>
    <col min="45" max="45" width="15.33203125" customWidth="1"/>
    <col min="46" max="46" width="12.5546875" customWidth="1"/>
    <col min="47" max="47" width="19" bestFit="1" customWidth="1"/>
    <col min="48" max="49" width="10.109375" customWidth="1"/>
    <col min="51" max="51" width="11.109375" customWidth="1"/>
    <col min="53" max="53" width="12.5546875" customWidth="1"/>
    <col min="54" max="54" width="12" bestFit="1" customWidth="1"/>
    <col min="55" max="55" width="16.77734375" customWidth="1"/>
    <col min="56" max="56" width="12.5546875" customWidth="1"/>
    <col min="57" max="57" width="14.44140625" customWidth="1"/>
  </cols>
  <sheetData>
    <row r="1" spans="4:59" x14ac:dyDescent="0.3">
      <c r="AQ1" s="42"/>
    </row>
    <row r="2" spans="4:59" x14ac:dyDescent="0.3">
      <c r="AQ2" s="42"/>
    </row>
    <row r="3" spans="4:59" x14ac:dyDescent="0.3">
      <c r="AQ3" s="42"/>
    </row>
    <row r="4" spans="4:59" x14ac:dyDescent="0.3">
      <c r="D4" s="42"/>
      <c r="E4" s="42"/>
      <c r="F4" s="42"/>
      <c r="G4" s="42"/>
      <c r="H4" s="42"/>
      <c r="I4" s="42">
        <f>(DATEDIF($H$5,$H$6,"D")+1)</f>
        <v>31</v>
      </c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</row>
    <row r="5" spans="4:59" x14ac:dyDescent="0.3">
      <c r="D5" s="42"/>
      <c r="E5" s="42"/>
      <c r="F5" s="42"/>
      <c r="G5" s="42" t="s">
        <v>26</v>
      </c>
      <c r="H5" s="43">
        <v>45870</v>
      </c>
      <c r="I5" s="42" t="str">
        <f>TEXT(H5,"MMMM")</f>
        <v>August</v>
      </c>
      <c r="J5" s="42"/>
      <c r="K5" s="42"/>
      <c r="L5" s="42"/>
      <c r="M5" s="43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</row>
    <row r="6" spans="4:59" ht="15" thickBot="1" x14ac:dyDescent="0.35">
      <c r="D6" s="42"/>
      <c r="E6" s="42"/>
      <c r="F6" s="42"/>
      <c r="G6" s="42" t="s">
        <v>27</v>
      </c>
      <c r="H6" s="43">
        <f>EOMONTH(H5,0)</f>
        <v>45900</v>
      </c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</row>
    <row r="7" spans="4:59" ht="15.6" x14ac:dyDescent="0.3">
      <c r="D7" s="42"/>
      <c r="E7" s="42"/>
      <c r="F7" s="42"/>
      <c r="G7" s="83" t="s">
        <v>29</v>
      </c>
      <c r="H7" s="84"/>
      <c r="I7" s="84"/>
      <c r="J7" s="70" t="s">
        <v>28</v>
      </c>
      <c r="K7" s="70" t="str">
        <f>TEXT(K8,"DDD")</f>
        <v>Fri</v>
      </c>
      <c r="L7" s="70" t="str">
        <f t="shared" ref="L7:AO7" si="0">TEXT(L8,"DDD")</f>
        <v>Sat</v>
      </c>
      <c r="M7" s="70" t="str">
        <f t="shared" si="0"/>
        <v>Sun</v>
      </c>
      <c r="N7" s="70" t="str">
        <f t="shared" si="0"/>
        <v>Mon</v>
      </c>
      <c r="O7" s="70" t="str">
        <f t="shared" si="0"/>
        <v>Tue</v>
      </c>
      <c r="P7" s="70" t="str">
        <f t="shared" si="0"/>
        <v>Wed</v>
      </c>
      <c r="Q7" s="70" t="str">
        <f t="shared" si="0"/>
        <v>Thu</v>
      </c>
      <c r="R7" s="70" t="str">
        <f t="shared" si="0"/>
        <v>Fri</v>
      </c>
      <c r="S7" s="70" t="str">
        <f t="shared" si="0"/>
        <v>Sat</v>
      </c>
      <c r="T7" s="70" t="str">
        <f t="shared" si="0"/>
        <v>Sun</v>
      </c>
      <c r="U7" s="70" t="str">
        <f t="shared" si="0"/>
        <v>Mon</v>
      </c>
      <c r="V7" s="70" t="str">
        <f t="shared" si="0"/>
        <v>Tue</v>
      </c>
      <c r="W7" s="70" t="str">
        <f t="shared" si="0"/>
        <v>Wed</v>
      </c>
      <c r="X7" s="70" t="str">
        <f t="shared" si="0"/>
        <v>Thu</v>
      </c>
      <c r="Y7" s="70" t="str">
        <f t="shared" si="0"/>
        <v>Fri</v>
      </c>
      <c r="Z7" s="70" t="str">
        <f t="shared" si="0"/>
        <v>Sat</v>
      </c>
      <c r="AA7" s="70" t="str">
        <f t="shared" si="0"/>
        <v>Sun</v>
      </c>
      <c r="AB7" s="70" t="str">
        <f t="shared" si="0"/>
        <v>Mon</v>
      </c>
      <c r="AC7" s="70" t="str">
        <f t="shared" si="0"/>
        <v>Tue</v>
      </c>
      <c r="AD7" s="70" t="str">
        <f t="shared" si="0"/>
        <v>Wed</v>
      </c>
      <c r="AE7" s="70" t="str">
        <f t="shared" si="0"/>
        <v>Thu</v>
      </c>
      <c r="AF7" s="70" t="str">
        <f t="shared" si="0"/>
        <v>Fri</v>
      </c>
      <c r="AG7" s="70" t="str">
        <f t="shared" si="0"/>
        <v>Sat</v>
      </c>
      <c r="AH7" s="70" t="str">
        <f t="shared" si="0"/>
        <v>Sun</v>
      </c>
      <c r="AI7" s="70" t="str">
        <f t="shared" si="0"/>
        <v>Mon</v>
      </c>
      <c r="AJ7" s="70" t="str">
        <f t="shared" si="0"/>
        <v>Tue</v>
      </c>
      <c r="AK7" s="70" t="str">
        <f t="shared" si="0"/>
        <v>Wed</v>
      </c>
      <c r="AL7" s="70" t="str">
        <f t="shared" si="0"/>
        <v>Thu</v>
      </c>
      <c r="AM7" s="70" t="str">
        <f t="shared" si="0"/>
        <v>Fri</v>
      </c>
      <c r="AN7" s="70" t="str">
        <f t="shared" si="0"/>
        <v>Sat</v>
      </c>
      <c r="AO7" s="71" t="str">
        <f t="shared" si="0"/>
        <v>Sun</v>
      </c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</row>
    <row r="8" spans="4:59" ht="16.2" thickBot="1" x14ac:dyDescent="0.35">
      <c r="D8" s="42"/>
      <c r="E8" s="42"/>
      <c r="F8" s="42"/>
      <c r="G8" s="57" t="s">
        <v>0</v>
      </c>
      <c r="H8" s="7" t="s">
        <v>23</v>
      </c>
      <c r="I8" s="8" t="s">
        <v>24</v>
      </c>
      <c r="J8" s="50" t="s">
        <v>25</v>
      </c>
      <c r="K8" s="51">
        <f>H5</f>
        <v>45870</v>
      </c>
      <c r="L8" s="51">
        <f>IF(K8&lt;$H$6,K8+1,"")</f>
        <v>45871</v>
      </c>
      <c r="M8" s="51">
        <f t="shared" ref="M8:AO8" si="1">IF(L8&lt;$H$6,L8+1,"")</f>
        <v>45872</v>
      </c>
      <c r="N8" s="51">
        <f t="shared" si="1"/>
        <v>45873</v>
      </c>
      <c r="O8" s="51">
        <f t="shared" si="1"/>
        <v>45874</v>
      </c>
      <c r="P8" s="51">
        <f t="shared" si="1"/>
        <v>45875</v>
      </c>
      <c r="Q8" s="51">
        <f t="shared" si="1"/>
        <v>45876</v>
      </c>
      <c r="R8" s="51">
        <f t="shared" si="1"/>
        <v>45877</v>
      </c>
      <c r="S8" s="51">
        <f t="shared" si="1"/>
        <v>45878</v>
      </c>
      <c r="T8" s="51">
        <f t="shared" si="1"/>
        <v>45879</v>
      </c>
      <c r="U8" s="51">
        <f t="shared" si="1"/>
        <v>45880</v>
      </c>
      <c r="V8" s="51">
        <f t="shared" si="1"/>
        <v>45881</v>
      </c>
      <c r="W8" s="51">
        <f t="shared" si="1"/>
        <v>45882</v>
      </c>
      <c r="X8" s="51">
        <f t="shared" si="1"/>
        <v>45883</v>
      </c>
      <c r="Y8" s="51">
        <f t="shared" si="1"/>
        <v>45884</v>
      </c>
      <c r="Z8" s="51">
        <f t="shared" si="1"/>
        <v>45885</v>
      </c>
      <c r="AA8" s="51">
        <f t="shared" si="1"/>
        <v>45886</v>
      </c>
      <c r="AB8" s="51">
        <f t="shared" si="1"/>
        <v>45887</v>
      </c>
      <c r="AC8" s="51">
        <f>IF(AB8&lt;$H$6,AB8+1,"")</f>
        <v>45888</v>
      </c>
      <c r="AD8" s="51">
        <f t="shared" si="1"/>
        <v>45889</v>
      </c>
      <c r="AE8" s="51">
        <f t="shared" si="1"/>
        <v>45890</v>
      </c>
      <c r="AF8" s="51">
        <f t="shared" si="1"/>
        <v>45891</v>
      </c>
      <c r="AG8" s="51">
        <f t="shared" si="1"/>
        <v>45892</v>
      </c>
      <c r="AH8" s="51">
        <f t="shared" si="1"/>
        <v>45893</v>
      </c>
      <c r="AI8" s="51">
        <f t="shared" si="1"/>
        <v>45894</v>
      </c>
      <c r="AJ8" s="51">
        <f t="shared" si="1"/>
        <v>45895</v>
      </c>
      <c r="AK8" s="51">
        <f t="shared" si="1"/>
        <v>45896</v>
      </c>
      <c r="AL8" s="51">
        <f>IF(AK8&lt;$H$6,AK8+1,"")</f>
        <v>45897</v>
      </c>
      <c r="AM8" s="51">
        <f t="shared" si="1"/>
        <v>45898</v>
      </c>
      <c r="AN8" s="51">
        <f t="shared" si="1"/>
        <v>45899</v>
      </c>
      <c r="AO8" s="72">
        <f t="shared" si="1"/>
        <v>45900</v>
      </c>
      <c r="AP8" s="42"/>
      <c r="AQ8" s="42"/>
      <c r="AR8" s="27" t="s">
        <v>0</v>
      </c>
      <c r="AS8" s="27" t="s">
        <v>23</v>
      </c>
      <c r="AT8" s="27" t="s">
        <v>39</v>
      </c>
      <c r="AU8" s="39" t="s">
        <v>24</v>
      </c>
      <c r="AV8" s="40" t="s">
        <v>30</v>
      </c>
      <c r="AW8" s="41" t="s">
        <v>31</v>
      </c>
      <c r="AX8" s="41" t="s">
        <v>32</v>
      </c>
      <c r="AY8" s="41" t="s">
        <v>33</v>
      </c>
      <c r="AZ8" s="41" t="s">
        <v>28</v>
      </c>
      <c r="BA8" s="41" t="s">
        <v>34</v>
      </c>
      <c r="BB8" s="41" t="s">
        <v>35</v>
      </c>
      <c r="BC8" s="41" t="s">
        <v>36</v>
      </c>
      <c r="BD8" s="41" t="s">
        <v>37</v>
      </c>
      <c r="BE8" s="41" t="s">
        <v>38</v>
      </c>
    </row>
    <row r="9" spans="4:59" ht="15.6" x14ac:dyDescent="0.3">
      <c r="D9" s="42"/>
      <c r="E9" s="42"/>
      <c r="F9" s="42"/>
      <c r="G9" s="59">
        <v>1</v>
      </c>
      <c r="H9" s="10">
        <v>1001</v>
      </c>
      <c r="I9" s="11" t="s">
        <v>3</v>
      </c>
      <c r="J9" s="52">
        <f>COUNTIF($K$7:$AO$7,"sun")</f>
        <v>5</v>
      </c>
      <c r="K9" s="53" t="s">
        <v>43</v>
      </c>
      <c r="L9" s="53" t="s">
        <v>43</v>
      </c>
      <c r="M9" s="53" t="str">
        <f t="shared" ref="M9:AO17" si="2">IF(M$7="sun","WO","")</f>
        <v>WO</v>
      </c>
      <c r="N9" s="53" t="s">
        <v>43</v>
      </c>
      <c r="O9" s="53" t="s">
        <v>41</v>
      </c>
      <c r="P9" s="53" t="s">
        <v>43</v>
      </c>
      <c r="Q9" s="53" t="s">
        <v>43</v>
      </c>
      <c r="R9" s="53" t="s">
        <v>43</v>
      </c>
      <c r="S9" s="53" t="s">
        <v>43</v>
      </c>
      <c r="T9" s="53" t="str">
        <f t="shared" si="2"/>
        <v>WO</v>
      </c>
      <c r="U9" s="53" t="s">
        <v>43</v>
      </c>
      <c r="V9" s="53" t="s">
        <v>43</v>
      </c>
      <c r="W9" s="53" t="s">
        <v>43</v>
      </c>
      <c r="X9" s="53" t="s">
        <v>43</v>
      </c>
      <c r="Y9" s="53" t="s">
        <v>43</v>
      </c>
      <c r="Z9" s="53" t="s">
        <v>43</v>
      </c>
      <c r="AA9" s="53" t="str">
        <f t="shared" si="2"/>
        <v>WO</v>
      </c>
      <c r="AB9" s="53" t="s">
        <v>43</v>
      </c>
      <c r="AC9" s="53" t="s">
        <v>43</v>
      </c>
      <c r="AD9" s="53" t="s">
        <v>41</v>
      </c>
      <c r="AE9" s="53" t="s">
        <v>43</v>
      </c>
      <c r="AF9" s="53" t="s">
        <v>43</v>
      </c>
      <c r="AG9" s="53" t="s">
        <v>43</v>
      </c>
      <c r="AH9" s="53" t="str">
        <f t="shared" si="2"/>
        <v>WO</v>
      </c>
      <c r="AI9" s="53" t="s">
        <v>43</v>
      </c>
      <c r="AJ9" s="53" t="s">
        <v>43</v>
      </c>
      <c r="AK9" s="53" t="s">
        <v>41</v>
      </c>
      <c r="AL9" s="53" t="s">
        <v>43</v>
      </c>
      <c r="AM9" s="53" t="s">
        <v>43</v>
      </c>
      <c r="AN9" s="53" t="s">
        <v>43</v>
      </c>
      <c r="AO9" s="73" t="str">
        <f t="shared" si="2"/>
        <v>WO</v>
      </c>
      <c r="AP9" s="42"/>
      <c r="AQ9" s="42"/>
      <c r="AR9" s="3">
        <v>1</v>
      </c>
      <c r="AS9" s="3">
        <v>1001</v>
      </c>
      <c r="AT9" s="3" t="str">
        <f>$I$5</f>
        <v>August</v>
      </c>
      <c r="AU9" s="36" t="s">
        <v>3</v>
      </c>
      <c r="AV9" s="30">
        <f>COUNTIF($K9:$AO9,"P")</f>
        <v>23</v>
      </c>
      <c r="AW9" s="30">
        <f>COUNTIF($K9:$AO9,"A")</f>
        <v>0</v>
      </c>
      <c r="AX9" s="30">
        <f>COUNTIF($K9:$AO9,"L")</f>
        <v>3</v>
      </c>
      <c r="AY9" s="30">
        <f>$J$9</f>
        <v>5</v>
      </c>
      <c r="AZ9" s="30">
        <f>$I$4</f>
        <v>31</v>
      </c>
      <c r="BA9" s="30">
        <f>AZ9-AW9</f>
        <v>31</v>
      </c>
      <c r="BB9" s="31">
        <v>25000</v>
      </c>
      <c r="BC9" s="32">
        <f>BB9/AZ9</f>
        <v>806.45161290322585</v>
      </c>
      <c r="BD9" s="31">
        <f>BC9*AW9</f>
        <v>0</v>
      </c>
      <c r="BE9" s="31">
        <f>BB9-BD9</f>
        <v>25000</v>
      </c>
    </row>
    <row r="10" spans="4:59" ht="15.6" x14ac:dyDescent="0.3">
      <c r="D10" s="42"/>
      <c r="E10" s="42"/>
      <c r="F10" s="42"/>
      <c r="G10" s="59">
        <v>2</v>
      </c>
      <c r="H10" s="10">
        <v>1002</v>
      </c>
      <c r="I10" s="11" t="s">
        <v>4</v>
      </c>
      <c r="J10" s="54">
        <f t="shared" ref="J10:J28" si="3">COUNTIF($K$7:$AO$7,"sun")</f>
        <v>5</v>
      </c>
      <c r="K10" s="3" t="s">
        <v>43</v>
      </c>
      <c r="L10" s="3" t="s">
        <v>43</v>
      </c>
      <c r="M10" s="3" t="str">
        <f t="shared" si="2"/>
        <v>WO</v>
      </c>
      <c r="N10" s="3" t="s">
        <v>43</v>
      </c>
      <c r="O10" s="53" t="s">
        <v>41</v>
      </c>
      <c r="P10" s="3" t="s">
        <v>43</v>
      </c>
      <c r="Q10" s="3" t="s">
        <v>43</v>
      </c>
      <c r="R10" s="3" t="s">
        <v>43</v>
      </c>
      <c r="S10" s="3" t="s">
        <v>43</v>
      </c>
      <c r="T10" s="3" t="str">
        <f t="shared" si="2"/>
        <v>WO</v>
      </c>
      <c r="U10" s="3" t="s">
        <v>43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tr">
        <f t="shared" si="2"/>
        <v>WO</v>
      </c>
      <c r="AB10" s="3" t="s">
        <v>43</v>
      </c>
      <c r="AC10" s="3" t="s">
        <v>44</v>
      </c>
      <c r="AD10" s="53" t="s">
        <v>41</v>
      </c>
      <c r="AE10" s="3" t="s">
        <v>43</v>
      </c>
      <c r="AF10" s="3" t="s">
        <v>43</v>
      </c>
      <c r="AG10" s="3" t="s">
        <v>43</v>
      </c>
      <c r="AH10" s="3" t="str">
        <f t="shared" si="2"/>
        <v>WO</v>
      </c>
      <c r="AI10" s="3" t="s">
        <v>43</v>
      </c>
      <c r="AJ10" s="3" t="s">
        <v>43</v>
      </c>
      <c r="AK10" s="53" t="s">
        <v>41</v>
      </c>
      <c r="AL10" s="3" t="s">
        <v>43</v>
      </c>
      <c r="AM10" s="3" t="s">
        <v>43</v>
      </c>
      <c r="AN10" s="3" t="s">
        <v>43</v>
      </c>
      <c r="AO10" s="36" t="str">
        <f t="shared" si="2"/>
        <v>WO</v>
      </c>
      <c r="AP10" s="42"/>
      <c r="AQ10" s="42"/>
      <c r="AR10" s="3">
        <v>2</v>
      </c>
      <c r="AS10" s="3">
        <v>1002</v>
      </c>
      <c r="AT10" s="3" t="str">
        <f t="shared" ref="AT10:AT28" si="4">$I$5</f>
        <v>August</v>
      </c>
      <c r="AU10" s="36" t="s">
        <v>4</v>
      </c>
      <c r="AV10">
        <f t="shared" ref="AV10:AV28" si="5">COUNTIF($K10:$AO10,"P")</f>
        <v>22</v>
      </c>
      <c r="AW10">
        <f t="shared" ref="AW10:AW28" si="6">COUNTIF($K10:$AO10,"A")</f>
        <v>1</v>
      </c>
      <c r="AX10">
        <f t="shared" ref="AX10:AX28" si="7">COUNTIF($K10:$AO10,"L")</f>
        <v>3</v>
      </c>
      <c r="AY10">
        <f t="shared" ref="AY10:AY28" si="8">$J$9</f>
        <v>5</v>
      </c>
      <c r="AZ10">
        <f t="shared" ref="AZ10:AZ28" si="9">$I$4</f>
        <v>31</v>
      </c>
      <c r="BA10">
        <f t="shared" ref="BA10:BA28" si="10">AZ10-AW10</f>
        <v>30</v>
      </c>
      <c r="BB10" s="28">
        <v>24000</v>
      </c>
      <c r="BC10" s="29">
        <f t="shared" ref="BC10:BC28" si="11">BB10/AZ10</f>
        <v>774.19354838709683</v>
      </c>
      <c r="BD10" s="28">
        <f t="shared" ref="BD10:BD28" si="12">BC10*AW10</f>
        <v>774.19354838709683</v>
      </c>
      <c r="BE10" s="28">
        <f t="shared" ref="BE10:BE28" si="13">BB10-BD10</f>
        <v>23225.806451612902</v>
      </c>
    </row>
    <row r="11" spans="4:59" ht="15.6" x14ac:dyDescent="0.3">
      <c r="D11" s="42"/>
      <c r="E11" s="42"/>
      <c r="F11" s="42"/>
      <c r="G11" s="59">
        <v>3</v>
      </c>
      <c r="H11" s="10">
        <v>1003</v>
      </c>
      <c r="I11" s="11" t="s">
        <v>5</v>
      </c>
      <c r="J11" s="54">
        <f t="shared" si="3"/>
        <v>5</v>
      </c>
      <c r="K11" s="3" t="s">
        <v>43</v>
      </c>
      <c r="L11" s="3" t="s">
        <v>43</v>
      </c>
      <c r="M11" s="3" t="str">
        <f t="shared" si="2"/>
        <v>WO</v>
      </c>
      <c r="N11" s="3" t="s">
        <v>43</v>
      </c>
      <c r="O11" s="53" t="s">
        <v>41</v>
      </c>
      <c r="P11" s="3" t="s">
        <v>43</v>
      </c>
      <c r="Q11" s="3" t="s">
        <v>44</v>
      </c>
      <c r="R11" s="3" t="s">
        <v>43</v>
      </c>
      <c r="S11" s="3" t="s">
        <v>43</v>
      </c>
      <c r="T11" s="3" t="str">
        <f t="shared" si="2"/>
        <v>WO</v>
      </c>
      <c r="U11" s="3" t="s">
        <v>43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tr">
        <f t="shared" si="2"/>
        <v>WO</v>
      </c>
      <c r="AB11" s="3" t="s">
        <v>43</v>
      </c>
      <c r="AC11" s="3" t="s">
        <v>43</v>
      </c>
      <c r="AD11" s="53" t="s">
        <v>41</v>
      </c>
      <c r="AE11" s="3" t="s">
        <v>43</v>
      </c>
      <c r="AF11" s="3" t="s">
        <v>43</v>
      </c>
      <c r="AG11" s="3" t="s">
        <v>43</v>
      </c>
      <c r="AH11" s="3" t="str">
        <f t="shared" si="2"/>
        <v>WO</v>
      </c>
      <c r="AI11" s="3" t="s">
        <v>43</v>
      </c>
      <c r="AJ11" s="3" t="s">
        <v>43</v>
      </c>
      <c r="AK11" s="53" t="s">
        <v>41</v>
      </c>
      <c r="AL11" s="3" t="s">
        <v>43</v>
      </c>
      <c r="AM11" s="3" t="s">
        <v>43</v>
      </c>
      <c r="AN11" s="3" t="s">
        <v>43</v>
      </c>
      <c r="AO11" s="36" t="str">
        <f t="shared" si="2"/>
        <v>WO</v>
      </c>
      <c r="AP11" s="42"/>
      <c r="AQ11" s="42"/>
      <c r="AR11" s="3">
        <v>3</v>
      </c>
      <c r="AS11" s="3">
        <v>1003</v>
      </c>
      <c r="AT11" s="3" t="str">
        <f t="shared" si="4"/>
        <v>August</v>
      </c>
      <c r="AU11" s="36" t="s">
        <v>5</v>
      </c>
      <c r="AV11">
        <f t="shared" si="5"/>
        <v>22</v>
      </c>
      <c r="AW11">
        <f t="shared" si="6"/>
        <v>1</v>
      </c>
      <c r="AX11">
        <f t="shared" si="7"/>
        <v>3</v>
      </c>
      <c r="AY11">
        <f t="shared" si="8"/>
        <v>5</v>
      </c>
      <c r="AZ11">
        <f t="shared" si="9"/>
        <v>31</v>
      </c>
      <c r="BA11">
        <f t="shared" si="10"/>
        <v>30</v>
      </c>
      <c r="BB11" s="28">
        <v>23000</v>
      </c>
      <c r="BC11" s="29">
        <f t="shared" si="11"/>
        <v>741.93548387096769</v>
      </c>
      <c r="BD11" s="28">
        <f t="shared" si="12"/>
        <v>741.93548387096769</v>
      </c>
      <c r="BE11" s="28">
        <f t="shared" si="13"/>
        <v>22258.064516129034</v>
      </c>
    </row>
    <row r="12" spans="4:59" ht="15.6" x14ac:dyDescent="0.3">
      <c r="D12" s="42"/>
      <c r="E12" s="42"/>
      <c r="F12" s="42"/>
      <c r="G12" s="59">
        <v>4</v>
      </c>
      <c r="H12" s="10">
        <v>1004</v>
      </c>
      <c r="I12" s="11" t="s">
        <v>6</v>
      </c>
      <c r="J12" s="54">
        <f t="shared" si="3"/>
        <v>5</v>
      </c>
      <c r="K12" s="3" t="s">
        <v>43</v>
      </c>
      <c r="L12" s="3" t="s">
        <v>43</v>
      </c>
      <c r="M12" s="3" t="str">
        <f t="shared" si="2"/>
        <v>WO</v>
      </c>
      <c r="N12" s="3" t="s">
        <v>43</v>
      </c>
      <c r="O12" s="53" t="s">
        <v>41</v>
      </c>
      <c r="P12" s="3" t="s">
        <v>43</v>
      </c>
      <c r="Q12" s="3" t="s">
        <v>43</v>
      </c>
      <c r="R12" s="3" t="s">
        <v>43</v>
      </c>
      <c r="S12" s="3" t="s">
        <v>44</v>
      </c>
      <c r="T12" s="3" t="str">
        <f t="shared" si="2"/>
        <v>WO</v>
      </c>
      <c r="U12" s="3" t="s">
        <v>43</v>
      </c>
      <c r="V12" s="3" t="s">
        <v>44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tr">
        <f t="shared" si="2"/>
        <v>WO</v>
      </c>
      <c r="AB12" s="3" t="s">
        <v>43</v>
      </c>
      <c r="AC12" s="3" t="s">
        <v>43</v>
      </c>
      <c r="AD12" s="53" t="s">
        <v>41</v>
      </c>
      <c r="AE12" s="3" t="s">
        <v>43</v>
      </c>
      <c r="AF12" s="3" t="s">
        <v>43</v>
      </c>
      <c r="AG12" s="3" t="s">
        <v>43</v>
      </c>
      <c r="AH12" s="3" t="str">
        <f t="shared" si="2"/>
        <v>WO</v>
      </c>
      <c r="AI12" s="3" t="s">
        <v>43</v>
      </c>
      <c r="AJ12" s="3" t="s">
        <v>43</v>
      </c>
      <c r="AK12" s="53" t="s">
        <v>41</v>
      </c>
      <c r="AL12" s="3" t="s">
        <v>43</v>
      </c>
      <c r="AM12" s="3" t="s">
        <v>43</v>
      </c>
      <c r="AN12" s="3" t="s">
        <v>43</v>
      </c>
      <c r="AO12" s="36" t="str">
        <f t="shared" si="2"/>
        <v>WO</v>
      </c>
      <c r="AP12" s="42"/>
      <c r="AQ12" s="42"/>
      <c r="AR12" s="3">
        <v>4</v>
      </c>
      <c r="AS12" s="3">
        <v>1004</v>
      </c>
      <c r="AT12" s="3" t="str">
        <f t="shared" si="4"/>
        <v>August</v>
      </c>
      <c r="AU12" s="36" t="s">
        <v>6</v>
      </c>
      <c r="AV12">
        <f t="shared" si="5"/>
        <v>21</v>
      </c>
      <c r="AW12">
        <f t="shared" si="6"/>
        <v>2</v>
      </c>
      <c r="AX12">
        <f t="shared" si="7"/>
        <v>3</v>
      </c>
      <c r="AY12">
        <f t="shared" si="8"/>
        <v>5</v>
      </c>
      <c r="AZ12">
        <f t="shared" si="9"/>
        <v>31</v>
      </c>
      <c r="BA12">
        <f t="shared" si="10"/>
        <v>29</v>
      </c>
      <c r="BB12" s="28">
        <v>25000</v>
      </c>
      <c r="BC12" s="29">
        <f t="shared" si="11"/>
        <v>806.45161290322585</v>
      </c>
      <c r="BD12" s="28">
        <f t="shared" si="12"/>
        <v>1612.9032258064517</v>
      </c>
      <c r="BE12" s="28">
        <f t="shared" si="13"/>
        <v>23387.096774193549</v>
      </c>
    </row>
    <row r="13" spans="4:59" ht="15.6" x14ac:dyDescent="0.3">
      <c r="D13" s="42"/>
      <c r="E13" s="42"/>
      <c r="F13" s="42"/>
      <c r="G13" s="59">
        <v>5</v>
      </c>
      <c r="H13" s="10">
        <v>1005</v>
      </c>
      <c r="I13" s="11" t="s">
        <v>7</v>
      </c>
      <c r="J13" s="54">
        <f t="shared" si="3"/>
        <v>5</v>
      </c>
      <c r="K13" s="3" t="s">
        <v>43</v>
      </c>
      <c r="L13" s="3" t="s">
        <v>44</v>
      </c>
      <c r="M13" s="3" t="str">
        <f t="shared" si="2"/>
        <v>WO</v>
      </c>
      <c r="N13" s="3" t="s">
        <v>43</v>
      </c>
      <c r="O13" s="53" t="s">
        <v>41</v>
      </c>
      <c r="P13" s="3" t="s">
        <v>43</v>
      </c>
      <c r="Q13" s="3" t="s">
        <v>43</v>
      </c>
      <c r="R13" s="3" t="s">
        <v>43</v>
      </c>
      <c r="S13" s="3" t="s">
        <v>43</v>
      </c>
      <c r="T13" s="3" t="str">
        <f t="shared" si="2"/>
        <v>WO</v>
      </c>
      <c r="U13" s="3" t="s">
        <v>43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tr">
        <f t="shared" si="2"/>
        <v>WO</v>
      </c>
      <c r="AB13" s="3" t="s">
        <v>43</v>
      </c>
      <c r="AC13" s="3" t="s">
        <v>43</v>
      </c>
      <c r="AD13" s="53" t="s">
        <v>41</v>
      </c>
      <c r="AE13" s="3" t="s">
        <v>43</v>
      </c>
      <c r="AF13" s="3" t="s">
        <v>44</v>
      </c>
      <c r="AG13" s="3" t="s">
        <v>43</v>
      </c>
      <c r="AH13" s="3" t="str">
        <f t="shared" si="2"/>
        <v>WO</v>
      </c>
      <c r="AI13" s="3" t="s">
        <v>43</v>
      </c>
      <c r="AJ13" s="3" t="s">
        <v>43</v>
      </c>
      <c r="AK13" s="53" t="s">
        <v>41</v>
      </c>
      <c r="AL13" s="3" t="s">
        <v>43</v>
      </c>
      <c r="AM13" s="3" t="s">
        <v>44</v>
      </c>
      <c r="AN13" s="3" t="s">
        <v>43</v>
      </c>
      <c r="AO13" s="36" t="str">
        <f t="shared" si="2"/>
        <v>WO</v>
      </c>
      <c r="AP13" s="42"/>
      <c r="AQ13" s="42"/>
      <c r="AR13" s="3">
        <v>5</v>
      </c>
      <c r="AS13" s="3">
        <v>1005</v>
      </c>
      <c r="AT13" s="3" t="str">
        <f t="shared" si="4"/>
        <v>August</v>
      </c>
      <c r="AU13" s="36" t="s">
        <v>7</v>
      </c>
      <c r="AV13">
        <f t="shared" si="5"/>
        <v>20</v>
      </c>
      <c r="AW13">
        <f t="shared" si="6"/>
        <v>3</v>
      </c>
      <c r="AX13">
        <f t="shared" si="7"/>
        <v>3</v>
      </c>
      <c r="AY13">
        <f t="shared" si="8"/>
        <v>5</v>
      </c>
      <c r="AZ13">
        <f t="shared" si="9"/>
        <v>31</v>
      </c>
      <c r="BA13">
        <f t="shared" si="10"/>
        <v>28</v>
      </c>
      <c r="BB13" s="28">
        <v>26000</v>
      </c>
      <c r="BC13" s="29">
        <f t="shared" si="11"/>
        <v>838.70967741935488</v>
      </c>
      <c r="BD13" s="28">
        <f t="shared" si="12"/>
        <v>2516.1290322580644</v>
      </c>
      <c r="BE13" s="28">
        <f t="shared" si="13"/>
        <v>23483.870967741936</v>
      </c>
    </row>
    <row r="14" spans="4:59" ht="15.6" x14ac:dyDescent="0.3">
      <c r="D14" s="42"/>
      <c r="E14" s="42"/>
      <c r="F14" s="42"/>
      <c r="G14" s="59">
        <v>6</v>
      </c>
      <c r="H14" s="10">
        <v>1006</v>
      </c>
      <c r="I14" s="11" t="s">
        <v>8</v>
      </c>
      <c r="J14" s="54">
        <f t="shared" si="3"/>
        <v>5</v>
      </c>
      <c r="K14" s="3" t="s">
        <v>43</v>
      </c>
      <c r="L14" s="3" t="s">
        <v>43</v>
      </c>
      <c r="M14" s="3" t="str">
        <f t="shared" si="2"/>
        <v>WO</v>
      </c>
      <c r="N14" s="3" t="s">
        <v>43</v>
      </c>
      <c r="O14" s="53" t="s">
        <v>41</v>
      </c>
      <c r="P14" s="3" t="s">
        <v>43</v>
      </c>
      <c r="Q14" s="3" t="s">
        <v>43</v>
      </c>
      <c r="R14" s="3" t="s">
        <v>43</v>
      </c>
      <c r="S14" s="3" t="s">
        <v>43</v>
      </c>
      <c r="T14" s="3" t="str">
        <f t="shared" si="2"/>
        <v>WO</v>
      </c>
      <c r="U14" s="3" t="s">
        <v>43</v>
      </c>
      <c r="V14" s="3" t="s">
        <v>43</v>
      </c>
      <c r="W14" s="3" t="s">
        <v>43</v>
      </c>
      <c r="X14" s="3" t="s">
        <v>43</v>
      </c>
      <c r="Y14" s="3" t="s">
        <v>44</v>
      </c>
      <c r="Z14" s="3" t="s">
        <v>43</v>
      </c>
      <c r="AA14" s="3" t="str">
        <f t="shared" si="2"/>
        <v>WO</v>
      </c>
      <c r="AB14" s="3" t="s">
        <v>43</v>
      </c>
      <c r="AC14" s="3" t="s">
        <v>43</v>
      </c>
      <c r="AD14" s="53" t="s">
        <v>41</v>
      </c>
      <c r="AE14" s="3" t="s">
        <v>43</v>
      </c>
      <c r="AF14" s="3" t="s">
        <v>43</v>
      </c>
      <c r="AG14" s="3" t="s">
        <v>43</v>
      </c>
      <c r="AH14" s="3" t="str">
        <f t="shared" si="2"/>
        <v>WO</v>
      </c>
      <c r="AI14" s="3" t="s">
        <v>43</v>
      </c>
      <c r="AJ14" s="3" t="s">
        <v>43</v>
      </c>
      <c r="AK14" s="53" t="s">
        <v>41</v>
      </c>
      <c r="AL14" s="3" t="s">
        <v>43</v>
      </c>
      <c r="AM14" s="3" t="s">
        <v>43</v>
      </c>
      <c r="AN14" s="3" t="s">
        <v>43</v>
      </c>
      <c r="AO14" s="36" t="str">
        <f t="shared" si="2"/>
        <v>WO</v>
      </c>
      <c r="AP14" s="42"/>
      <c r="AQ14" s="42"/>
      <c r="AR14" s="3">
        <v>6</v>
      </c>
      <c r="AS14" s="3">
        <v>1006</v>
      </c>
      <c r="AT14" s="3" t="str">
        <f t="shared" si="4"/>
        <v>August</v>
      </c>
      <c r="AU14" s="36" t="s">
        <v>8</v>
      </c>
      <c r="AV14">
        <f t="shared" si="5"/>
        <v>22</v>
      </c>
      <c r="AW14">
        <f t="shared" si="6"/>
        <v>1</v>
      </c>
      <c r="AX14">
        <f t="shared" si="7"/>
        <v>3</v>
      </c>
      <c r="AY14">
        <f t="shared" si="8"/>
        <v>5</v>
      </c>
      <c r="AZ14">
        <f t="shared" si="9"/>
        <v>31</v>
      </c>
      <c r="BA14">
        <f t="shared" si="10"/>
        <v>30</v>
      </c>
      <c r="BB14" s="28">
        <v>31000</v>
      </c>
      <c r="BC14" s="29">
        <f t="shared" si="11"/>
        <v>1000</v>
      </c>
      <c r="BD14" s="28">
        <f t="shared" si="12"/>
        <v>1000</v>
      </c>
      <c r="BE14" s="28">
        <f t="shared" si="13"/>
        <v>30000</v>
      </c>
    </row>
    <row r="15" spans="4:59" ht="15.6" x14ac:dyDescent="0.3">
      <c r="D15" s="42"/>
      <c r="E15" s="42"/>
      <c r="F15" s="42"/>
      <c r="G15" s="59">
        <v>7</v>
      </c>
      <c r="H15" s="10">
        <v>1007</v>
      </c>
      <c r="I15" s="11" t="s">
        <v>9</v>
      </c>
      <c r="J15" s="54">
        <f t="shared" si="3"/>
        <v>5</v>
      </c>
      <c r="K15" s="3" t="s">
        <v>43</v>
      </c>
      <c r="L15" s="3" t="s">
        <v>43</v>
      </c>
      <c r="M15" s="3" t="str">
        <f t="shared" si="2"/>
        <v>WO</v>
      </c>
      <c r="N15" s="3" t="s">
        <v>44</v>
      </c>
      <c r="O15" s="53" t="s">
        <v>41</v>
      </c>
      <c r="P15" s="3" t="s">
        <v>43</v>
      </c>
      <c r="Q15" s="3" t="s">
        <v>43</v>
      </c>
      <c r="R15" s="3" t="s">
        <v>43</v>
      </c>
      <c r="S15" s="3" t="s">
        <v>43</v>
      </c>
      <c r="T15" s="3" t="str">
        <f t="shared" si="2"/>
        <v>WO</v>
      </c>
      <c r="U15" s="3" t="s">
        <v>43</v>
      </c>
      <c r="V15" s="3" t="s">
        <v>43</v>
      </c>
      <c r="W15" s="3" t="s">
        <v>44</v>
      </c>
      <c r="X15" s="3" t="s">
        <v>43</v>
      </c>
      <c r="Y15" s="3" t="s">
        <v>43</v>
      </c>
      <c r="Z15" s="3" t="s">
        <v>43</v>
      </c>
      <c r="AA15" s="3" t="str">
        <f t="shared" si="2"/>
        <v>WO</v>
      </c>
      <c r="AB15" s="3" t="s">
        <v>43</v>
      </c>
      <c r="AC15" s="3" t="s">
        <v>43</v>
      </c>
      <c r="AD15" s="53" t="s">
        <v>41</v>
      </c>
      <c r="AE15" s="3" t="s">
        <v>43</v>
      </c>
      <c r="AF15" s="3" t="s">
        <v>43</v>
      </c>
      <c r="AG15" s="3" t="s">
        <v>43</v>
      </c>
      <c r="AH15" s="3" t="str">
        <f t="shared" si="2"/>
        <v>WO</v>
      </c>
      <c r="AI15" s="3" t="s">
        <v>43</v>
      </c>
      <c r="AJ15" s="3" t="s">
        <v>43</v>
      </c>
      <c r="AK15" s="53" t="s">
        <v>41</v>
      </c>
      <c r="AL15" s="3" t="s">
        <v>43</v>
      </c>
      <c r="AM15" s="3" t="s">
        <v>43</v>
      </c>
      <c r="AN15" s="3" t="s">
        <v>43</v>
      </c>
      <c r="AO15" s="36" t="str">
        <f t="shared" si="2"/>
        <v>WO</v>
      </c>
      <c r="AP15" s="42"/>
      <c r="AQ15" s="42"/>
      <c r="AR15" s="3">
        <v>7</v>
      </c>
      <c r="AS15" s="3">
        <v>1007</v>
      </c>
      <c r="AT15" s="3" t="str">
        <f t="shared" si="4"/>
        <v>August</v>
      </c>
      <c r="AU15" s="36" t="s">
        <v>9</v>
      </c>
      <c r="AV15">
        <f t="shared" si="5"/>
        <v>21</v>
      </c>
      <c r="AW15">
        <f t="shared" si="6"/>
        <v>2</v>
      </c>
      <c r="AX15">
        <f t="shared" si="7"/>
        <v>3</v>
      </c>
      <c r="AY15">
        <f t="shared" si="8"/>
        <v>5</v>
      </c>
      <c r="AZ15">
        <f t="shared" si="9"/>
        <v>31</v>
      </c>
      <c r="BA15">
        <f t="shared" si="10"/>
        <v>29</v>
      </c>
      <c r="BB15" s="28">
        <v>28000</v>
      </c>
      <c r="BC15" s="29">
        <f t="shared" si="11"/>
        <v>903.22580645161293</v>
      </c>
      <c r="BD15" s="28">
        <f t="shared" si="12"/>
        <v>1806.4516129032259</v>
      </c>
      <c r="BE15" s="28">
        <f t="shared" si="13"/>
        <v>26193.548387096773</v>
      </c>
    </row>
    <row r="16" spans="4:59" ht="15.6" x14ac:dyDescent="0.3">
      <c r="D16" s="42"/>
      <c r="E16" s="42"/>
      <c r="F16" s="42"/>
      <c r="G16" s="59">
        <v>8</v>
      </c>
      <c r="H16" s="10">
        <v>1008</v>
      </c>
      <c r="I16" s="11" t="s">
        <v>10</v>
      </c>
      <c r="J16" s="54">
        <f t="shared" si="3"/>
        <v>5</v>
      </c>
      <c r="K16" s="3" t="s">
        <v>43</v>
      </c>
      <c r="L16" s="3" t="s">
        <v>43</v>
      </c>
      <c r="M16" s="3" t="str">
        <f t="shared" si="2"/>
        <v>WO</v>
      </c>
      <c r="N16" s="3" t="s">
        <v>43</v>
      </c>
      <c r="O16" s="53" t="s">
        <v>41</v>
      </c>
      <c r="P16" s="3" t="s">
        <v>43</v>
      </c>
      <c r="Q16" s="3" t="s">
        <v>43</v>
      </c>
      <c r="R16" s="3" t="s">
        <v>44</v>
      </c>
      <c r="S16" s="3" t="s">
        <v>43</v>
      </c>
      <c r="T16" s="3" t="str">
        <f t="shared" si="2"/>
        <v>WO</v>
      </c>
      <c r="U16" s="3" t="s">
        <v>43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tr">
        <f t="shared" si="2"/>
        <v>WO</v>
      </c>
      <c r="AB16" s="3" t="s">
        <v>43</v>
      </c>
      <c r="AC16" s="3" t="s">
        <v>43</v>
      </c>
      <c r="AD16" s="53" t="s">
        <v>41</v>
      </c>
      <c r="AE16" s="3" t="s">
        <v>43</v>
      </c>
      <c r="AF16" s="3" t="s">
        <v>43</v>
      </c>
      <c r="AG16" s="3" t="s">
        <v>43</v>
      </c>
      <c r="AH16" s="3" t="str">
        <f t="shared" si="2"/>
        <v>WO</v>
      </c>
      <c r="AI16" s="3" t="s">
        <v>44</v>
      </c>
      <c r="AJ16" s="3" t="s">
        <v>43</v>
      </c>
      <c r="AK16" s="53" t="s">
        <v>41</v>
      </c>
      <c r="AL16" s="3" t="s">
        <v>43</v>
      </c>
      <c r="AM16" s="3" t="s">
        <v>43</v>
      </c>
      <c r="AN16" s="3" t="s">
        <v>43</v>
      </c>
      <c r="AO16" s="36" t="str">
        <f t="shared" si="2"/>
        <v>WO</v>
      </c>
      <c r="AP16" s="42"/>
      <c r="AQ16" s="42"/>
      <c r="AR16" s="3">
        <v>8</v>
      </c>
      <c r="AS16" s="3">
        <v>1008</v>
      </c>
      <c r="AT16" s="3" t="str">
        <f t="shared" si="4"/>
        <v>August</v>
      </c>
      <c r="AU16" s="36" t="s">
        <v>10</v>
      </c>
      <c r="AV16">
        <f t="shared" si="5"/>
        <v>21</v>
      </c>
      <c r="AW16">
        <f t="shared" si="6"/>
        <v>2</v>
      </c>
      <c r="AX16">
        <f t="shared" si="7"/>
        <v>3</v>
      </c>
      <c r="AY16">
        <f t="shared" si="8"/>
        <v>5</v>
      </c>
      <c r="AZ16">
        <f t="shared" si="9"/>
        <v>31</v>
      </c>
      <c r="BA16">
        <f t="shared" si="10"/>
        <v>29</v>
      </c>
      <c r="BB16" s="28">
        <v>29000</v>
      </c>
      <c r="BC16" s="29">
        <f t="shared" si="11"/>
        <v>935.48387096774195</v>
      </c>
      <c r="BD16" s="28">
        <f t="shared" si="12"/>
        <v>1870.9677419354839</v>
      </c>
      <c r="BE16" s="28">
        <f t="shared" si="13"/>
        <v>27129.032258064515</v>
      </c>
    </row>
    <row r="17" spans="4:59" ht="15.6" x14ac:dyDescent="0.3">
      <c r="D17" s="42"/>
      <c r="E17" s="42"/>
      <c r="F17" s="42"/>
      <c r="G17" s="59">
        <v>9</v>
      </c>
      <c r="H17" s="10">
        <v>1009</v>
      </c>
      <c r="I17" s="11" t="s">
        <v>11</v>
      </c>
      <c r="J17" s="54">
        <f t="shared" si="3"/>
        <v>5</v>
      </c>
      <c r="K17" s="3" t="s">
        <v>43</v>
      </c>
      <c r="L17" s="3" t="s">
        <v>43</v>
      </c>
      <c r="M17" s="3" t="str">
        <f t="shared" si="2"/>
        <v>WO</v>
      </c>
      <c r="N17" s="3" t="s">
        <v>43</v>
      </c>
      <c r="O17" s="53" t="s">
        <v>41</v>
      </c>
      <c r="P17" s="3" t="s">
        <v>43</v>
      </c>
      <c r="Q17" s="3" t="s">
        <v>43</v>
      </c>
      <c r="R17" s="3" t="s">
        <v>43</v>
      </c>
      <c r="S17" s="3" t="s">
        <v>43</v>
      </c>
      <c r="T17" s="3" t="str">
        <f t="shared" si="2"/>
        <v>WO</v>
      </c>
      <c r="U17" s="3" t="s">
        <v>43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tr">
        <f t="shared" si="2"/>
        <v>WO</v>
      </c>
      <c r="AB17" s="3" t="s">
        <v>43</v>
      </c>
      <c r="AC17" s="3" t="s">
        <v>43</v>
      </c>
      <c r="AD17" s="53" t="s">
        <v>41</v>
      </c>
      <c r="AE17" s="3" t="s">
        <v>43</v>
      </c>
      <c r="AF17" s="3" t="s">
        <v>43</v>
      </c>
      <c r="AG17" s="3" t="s">
        <v>43</v>
      </c>
      <c r="AH17" s="3" t="str">
        <f t="shared" ref="AA17:AO28" si="14">IF(AH$7="sun","WO","")</f>
        <v>WO</v>
      </c>
      <c r="AI17" s="3" t="s">
        <v>43</v>
      </c>
      <c r="AJ17" s="3" t="s">
        <v>43</v>
      </c>
      <c r="AK17" s="53" t="s">
        <v>41</v>
      </c>
      <c r="AL17" s="3" t="s">
        <v>43</v>
      </c>
      <c r="AM17" s="3" t="s">
        <v>43</v>
      </c>
      <c r="AN17" s="3" t="s">
        <v>43</v>
      </c>
      <c r="AO17" s="36" t="str">
        <f t="shared" si="14"/>
        <v>WO</v>
      </c>
      <c r="AP17" s="42"/>
      <c r="AQ17" s="42"/>
      <c r="AR17" s="3">
        <v>9</v>
      </c>
      <c r="AS17" s="3">
        <v>1009</v>
      </c>
      <c r="AT17" s="3" t="str">
        <f t="shared" si="4"/>
        <v>August</v>
      </c>
      <c r="AU17" s="36" t="s">
        <v>11</v>
      </c>
      <c r="AV17">
        <f t="shared" si="5"/>
        <v>23</v>
      </c>
      <c r="AW17">
        <f t="shared" si="6"/>
        <v>0</v>
      </c>
      <c r="AX17">
        <f t="shared" si="7"/>
        <v>3</v>
      </c>
      <c r="AY17">
        <f t="shared" si="8"/>
        <v>5</v>
      </c>
      <c r="AZ17">
        <f t="shared" si="9"/>
        <v>31</v>
      </c>
      <c r="BA17">
        <f t="shared" si="10"/>
        <v>31</v>
      </c>
      <c r="BB17" s="28">
        <v>32000</v>
      </c>
      <c r="BC17" s="29">
        <f t="shared" si="11"/>
        <v>1032.258064516129</v>
      </c>
      <c r="BD17" s="28">
        <f t="shared" si="12"/>
        <v>0</v>
      </c>
      <c r="BE17" s="28">
        <f t="shared" si="13"/>
        <v>32000</v>
      </c>
    </row>
    <row r="18" spans="4:59" ht="15.6" x14ac:dyDescent="0.3">
      <c r="D18" s="42"/>
      <c r="E18" s="42"/>
      <c r="F18" s="42"/>
      <c r="G18" s="59">
        <v>10</v>
      </c>
      <c r="H18" s="10">
        <v>1010</v>
      </c>
      <c r="I18" s="11" t="s">
        <v>12</v>
      </c>
      <c r="J18" s="54">
        <f t="shared" si="3"/>
        <v>5</v>
      </c>
      <c r="K18" s="3" t="s">
        <v>43</v>
      </c>
      <c r="L18" s="3" t="s">
        <v>43</v>
      </c>
      <c r="M18" s="3" t="str">
        <f t="shared" ref="M18:T28" si="15">IF(M$7="sun","WO","")</f>
        <v>WO</v>
      </c>
      <c r="N18" s="3" t="s">
        <v>43</v>
      </c>
      <c r="O18" s="53" t="s">
        <v>41</v>
      </c>
      <c r="P18" s="3" t="s">
        <v>43</v>
      </c>
      <c r="Q18" s="3" t="s">
        <v>43</v>
      </c>
      <c r="R18" s="3" t="s">
        <v>43</v>
      </c>
      <c r="S18" s="3" t="s">
        <v>43</v>
      </c>
      <c r="T18" s="3" t="str">
        <f t="shared" si="15"/>
        <v>WO</v>
      </c>
      <c r="U18" s="3" t="s">
        <v>43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tr">
        <f t="shared" si="14"/>
        <v>WO</v>
      </c>
      <c r="AB18" s="3" t="s">
        <v>43</v>
      </c>
      <c r="AC18" s="3" t="s">
        <v>43</v>
      </c>
      <c r="AD18" s="53" t="s">
        <v>41</v>
      </c>
      <c r="AE18" s="3" t="s">
        <v>43</v>
      </c>
      <c r="AF18" s="3" t="s">
        <v>43</v>
      </c>
      <c r="AG18" s="3" t="s">
        <v>43</v>
      </c>
      <c r="AH18" s="3" t="str">
        <f t="shared" si="14"/>
        <v>WO</v>
      </c>
      <c r="AI18" s="3" t="s">
        <v>43</v>
      </c>
      <c r="AJ18" s="3" t="s">
        <v>43</v>
      </c>
      <c r="AK18" s="53" t="s">
        <v>41</v>
      </c>
      <c r="AL18" s="3" t="s">
        <v>43</v>
      </c>
      <c r="AM18" s="3" t="s">
        <v>43</v>
      </c>
      <c r="AN18" s="3" t="s">
        <v>43</v>
      </c>
      <c r="AO18" s="36" t="str">
        <f t="shared" si="14"/>
        <v>WO</v>
      </c>
      <c r="AP18" s="42"/>
      <c r="AQ18" s="42"/>
      <c r="AR18" s="3">
        <v>10</v>
      </c>
      <c r="AS18" s="3">
        <v>1010</v>
      </c>
      <c r="AT18" s="3" t="str">
        <f t="shared" si="4"/>
        <v>August</v>
      </c>
      <c r="AU18" s="36" t="s">
        <v>12</v>
      </c>
      <c r="AV18">
        <f t="shared" si="5"/>
        <v>23</v>
      </c>
      <c r="AW18">
        <f t="shared" si="6"/>
        <v>0</v>
      </c>
      <c r="AX18">
        <f t="shared" si="7"/>
        <v>3</v>
      </c>
      <c r="AY18">
        <f t="shared" si="8"/>
        <v>5</v>
      </c>
      <c r="AZ18">
        <f t="shared" si="9"/>
        <v>31</v>
      </c>
      <c r="BA18">
        <f t="shared" si="10"/>
        <v>31</v>
      </c>
      <c r="BB18" s="28">
        <v>35000</v>
      </c>
      <c r="BC18" s="29">
        <f t="shared" si="11"/>
        <v>1129.0322580645161</v>
      </c>
      <c r="BD18" s="28">
        <f t="shared" si="12"/>
        <v>0</v>
      </c>
      <c r="BE18" s="28">
        <f t="shared" si="13"/>
        <v>35000</v>
      </c>
    </row>
    <row r="19" spans="4:59" ht="15.6" x14ac:dyDescent="0.3">
      <c r="D19" s="42"/>
      <c r="E19" s="42"/>
      <c r="F19" s="42"/>
      <c r="G19" s="59">
        <v>11</v>
      </c>
      <c r="H19" s="10">
        <v>1011</v>
      </c>
      <c r="I19" s="11" t="s">
        <v>13</v>
      </c>
      <c r="J19" s="54">
        <f t="shared" si="3"/>
        <v>5</v>
      </c>
      <c r="K19" s="3" t="s">
        <v>43</v>
      </c>
      <c r="L19" s="3" t="s">
        <v>43</v>
      </c>
      <c r="M19" s="3" t="str">
        <f t="shared" si="15"/>
        <v>WO</v>
      </c>
      <c r="N19" s="3" t="s">
        <v>44</v>
      </c>
      <c r="O19" s="53" t="s">
        <v>41</v>
      </c>
      <c r="P19" s="3" t="s">
        <v>44</v>
      </c>
      <c r="Q19" s="3" t="s">
        <v>43</v>
      </c>
      <c r="R19" s="3" t="s">
        <v>43</v>
      </c>
      <c r="S19" s="3" t="s">
        <v>43</v>
      </c>
      <c r="T19" s="3" t="str">
        <f t="shared" si="15"/>
        <v>WO</v>
      </c>
      <c r="U19" s="3" t="s">
        <v>43</v>
      </c>
      <c r="V19" s="3" t="s">
        <v>43</v>
      </c>
      <c r="W19" s="3" t="s">
        <v>43</v>
      </c>
      <c r="X19" s="3" t="s">
        <v>44</v>
      </c>
      <c r="Y19" s="3" t="s">
        <v>43</v>
      </c>
      <c r="Z19" s="3" t="s">
        <v>43</v>
      </c>
      <c r="AA19" s="3" t="str">
        <f t="shared" si="14"/>
        <v>WO</v>
      </c>
      <c r="AB19" s="3" t="s">
        <v>43</v>
      </c>
      <c r="AC19" s="3" t="s">
        <v>43</v>
      </c>
      <c r="AD19" s="53" t="s">
        <v>41</v>
      </c>
      <c r="AE19" s="3" t="s">
        <v>43</v>
      </c>
      <c r="AF19" s="3" t="s">
        <v>43</v>
      </c>
      <c r="AG19" s="3" t="s">
        <v>44</v>
      </c>
      <c r="AH19" s="3" t="str">
        <f t="shared" si="14"/>
        <v>WO</v>
      </c>
      <c r="AI19" s="3" t="s">
        <v>43</v>
      </c>
      <c r="AJ19" s="3" t="s">
        <v>43</v>
      </c>
      <c r="AK19" s="53" t="s">
        <v>41</v>
      </c>
      <c r="AL19" s="3" t="s">
        <v>43</v>
      </c>
      <c r="AM19" s="3" t="s">
        <v>43</v>
      </c>
      <c r="AN19" s="3" t="s">
        <v>43</v>
      </c>
      <c r="AO19" s="36" t="str">
        <f t="shared" si="14"/>
        <v>WO</v>
      </c>
      <c r="AP19" s="42"/>
      <c r="AQ19" s="42"/>
      <c r="AR19" s="3">
        <v>11</v>
      </c>
      <c r="AS19" s="3">
        <v>1011</v>
      </c>
      <c r="AT19" s="3" t="str">
        <f t="shared" si="4"/>
        <v>August</v>
      </c>
      <c r="AU19" s="36" t="s">
        <v>13</v>
      </c>
      <c r="AV19">
        <f t="shared" si="5"/>
        <v>19</v>
      </c>
      <c r="AW19">
        <f t="shared" si="6"/>
        <v>4</v>
      </c>
      <c r="AX19">
        <f t="shared" si="7"/>
        <v>3</v>
      </c>
      <c r="AY19">
        <f t="shared" si="8"/>
        <v>5</v>
      </c>
      <c r="AZ19">
        <f t="shared" si="9"/>
        <v>31</v>
      </c>
      <c r="BA19">
        <f t="shared" si="10"/>
        <v>27</v>
      </c>
      <c r="BB19" s="28">
        <v>50000</v>
      </c>
      <c r="BC19" s="29">
        <f t="shared" si="11"/>
        <v>1612.9032258064517</v>
      </c>
      <c r="BD19" s="28">
        <f t="shared" si="12"/>
        <v>6451.6129032258068</v>
      </c>
      <c r="BE19" s="28">
        <f t="shared" si="13"/>
        <v>43548.387096774197</v>
      </c>
    </row>
    <row r="20" spans="4:59" ht="15.6" x14ac:dyDescent="0.3">
      <c r="D20" s="42"/>
      <c r="E20" s="42"/>
      <c r="F20" s="42"/>
      <c r="G20" s="59">
        <v>12</v>
      </c>
      <c r="H20" s="10">
        <v>1012</v>
      </c>
      <c r="I20" s="11" t="s">
        <v>14</v>
      </c>
      <c r="J20" s="54">
        <f t="shared" si="3"/>
        <v>5</v>
      </c>
      <c r="K20" s="3" t="s">
        <v>43</v>
      </c>
      <c r="L20" s="3" t="s">
        <v>43</v>
      </c>
      <c r="M20" s="3" t="str">
        <f t="shared" si="15"/>
        <v>WO</v>
      </c>
      <c r="N20" s="3" t="s">
        <v>43</v>
      </c>
      <c r="O20" s="53" t="s">
        <v>41</v>
      </c>
      <c r="P20" s="3" t="s">
        <v>43</v>
      </c>
      <c r="Q20" s="3" t="s">
        <v>43</v>
      </c>
      <c r="R20" s="3" t="s">
        <v>43</v>
      </c>
      <c r="S20" s="3" t="s">
        <v>43</v>
      </c>
      <c r="T20" s="3" t="str">
        <f t="shared" si="15"/>
        <v>WO</v>
      </c>
      <c r="U20" s="3" t="s">
        <v>43</v>
      </c>
      <c r="V20" s="3" t="s">
        <v>43</v>
      </c>
      <c r="W20" s="3" t="s">
        <v>43</v>
      </c>
      <c r="X20" s="3" t="s">
        <v>43</v>
      </c>
      <c r="Y20" s="3" t="s">
        <v>43</v>
      </c>
      <c r="Z20" s="3" t="s">
        <v>43</v>
      </c>
      <c r="AA20" s="3" t="str">
        <f t="shared" si="14"/>
        <v>WO</v>
      </c>
      <c r="AB20" s="3" t="s">
        <v>43</v>
      </c>
      <c r="AC20" s="3" t="s">
        <v>43</v>
      </c>
      <c r="AD20" s="53" t="s">
        <v>41</v>
      </c>
      <c r="AE20" s="3" t="s">
        <v>43</v>
      </c>
      <c r="AF20" s="3" t="s">
        <v>43</v>
      </c>
      <c r="AG20" s="3" t="s">
        <v>43</v>
      </c>
      <c r="AH20" s="3" t="str">
        <f t="shared" si="14"/>
        <v>WO</v>
      </c>
      <c r="AI20" s="3" t="s">
        <v>43</v>
      </c>
      <c r="AJ20" s="3" t="s">
        <v>43</v>
      </c>
      <c r="AK20" s="53" t="s">
        <v>41</v>
      </c>
      <c r="AL20" s="3" t="s">
        <v>43</v>
      </c>
      <c r="AM20" s="3" t="s">
        <v>43</v>
      </c>
      <c r="AN20" s="3" t="s">
        <v>43</v>
      </c>
      <c r="AO20" s="36" t="str">
        <f t="shared" si="14"/>
        <v>WO</v>
      </c>
      <c r="AP20" s="42"/>
      <c r="AQ20" s="42"/>
      <c r="AR20" s="3">
        <v>12</v>
      </c>
      <c r="AS20" s="3">
        <v>1012</v>
      </c>
      <c r="AT20" s="3" t="str">
        <f t="shared" si="4"/>
        <v>August</v>
      </c>
      <c r="AU20" s="36" t="s">
        <v>14</v>
      </c>
      <c r="AV20">
        <f t="shared" si="5"/>
        <v>23</v>
      </c>
      <c r="AW20">
        <f t="shared" si="6"/>
        <v>0</v>
      </c>
      <c r="AX20">
        <f t="shared" si="7"/>
        <v>3</v>
      </c>
      <c r="AY20">
        <f t="shared" si="8"/>
        <v>5</v>
      </c>
      <c r="AZ20">
        <f t="shared" si="9"/>
        <v>31</v>
      </c>
      <c r="BA20">
        <f t="shared" si="10"/>
        <v>31</v>
      </c>
      <c r="BB20" s="28">
        <v>29000</v>
      </c>
      <c r="BC20" s="29">
        <f t="shared" si="11"/>
        <v>935.48387096774195</v>
      </c>
      <c r="BD20" s="28">
        <f t="shared" si="12"/>
        <v>0</v>
      </c>
      <c r="BE20" s="28">
        <f t="shared" si="13"/>
        <v>29000</v>
      </c>
    </row>
    <row r="21" spans="4:59" ht="15.6" x14ac:dyDescent="0.3">
      <c r="D21" s="42"/>
      <c r="E21" s="42"/>
      <c r="F21" s="42"/>
      <c r="G21" s="59">
        <v>13</v>
      </c>
      <c r="H21" s="10">
        <v>1013</v>
      </c>
      <c r="I21" s="11" t="s">
        <v>15</v>
      </c>
      <c r="J21" s="54">
        <f t="shared" si="3"/>
        <v>5</v>
      </c>
      <c r="K21" s="3" t="s">
        <v>43</v>
      </c>
      <c r="L21" s="3" t="s">
        <v>43</v>
      </c>
      <c r="M21" s="3" t="str">
        <f t="shared" si="15"/>
        <v>WO</v>
      </c>
      <c r="N21" s="3" t="s">
        <v>43</v>
      </c>
      <c r="O21" s="53" t="s">
        <v>41</v>
      </c>
      <c r="P21" s="3" t="s">
        <v>43</v>
      </c>
      <c r="Q21" s="3" t="s">
        <v>43</v>
      </c>
      <c r="R21" s="3" t="s">
        <v>43</v>
      </c>
      <c r="S21" s="3" t="s">
        <v>43</v>
      </c>
      <c r="T21" s="3" t="str">
        <f t="shared" si="15"/>
        <v>WO</v>
      </c>
      <c r="U21" s="3" t="s">
        <v>44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tr">
        <f t="shared" si="14"/>
        <v>WO</v>
      </c>
      <c r="AB21" s="3" t="s">
        <v>43</v>
      </c>
      <c r="AC21" s="3" t="s">
        <v>43</v>
      </c>
      <c r="AD21" s="53" t="s">
        <v>41</v>
      </c>
      <c r="AE21" s="3" t="s">
        <v>43</v>
      </c>
      <c r="AF21" s="3" t="s">
        <v>43</v>
      </c>
      <c r="AG21" s="3" t="s">
        <v>43</v>
      </c>
      <c r="AH21" s="3" t="str">
        <f t="shared" si="14"/>
        <v>WO</v>
      </c>
      <c r="AI21" s="3" t="s">
        <v>43</v>
      </c>
      <c r="AJ21" s="3" t="s">
        <v>43</v>
      </c>
      <c r="AK21" s="53" t="s">
        <v>41</v>
      </c>
      <c r="AL21" s="3" t="s">
        <v>43</v>
      </c>
      <c r="AM21" s="3" t="s">
        <v>43</v>
      </c>
      <c r="AN21" s="3" t="s">
        <v>43</v>
      </c>
      <c r="AO21" s="36" t="str">
        <f t="shared" si="14"/>
        <v>WO</v>
      </c>
      <c r="AP21" s="42"/>
      <c r="AQ21" s="42"/>
      <c r="AR21" s="3">
        <v>13</v>
      </c>
      <c r="AS21" s="3">
        <v>1013</v>
      </c>
      <c r="AT21" s="3" t="str">
        <f t="shared" si="4"/>
        <v>August</v>
      </c>
      <c r="AU21" s="36" t="s">
        <v>15</v>
      </c>
      <c r="AV21">
        <f t="shared" si="5"/>
        <v>22</v>
      </c>
      <c r="AW21">
        <f t="shared" si="6"/>
        <v>1</v>
      </c>
      <c r="AX21">
        <f t="shared" si="7"/>
        <v>3</v>
      </c>
      <c r="AY21">
        <f t="shared" si="8"/>
        <v>5</v>
      </c>
      <c r="AZ21">
        <f t="shared" si="9"/>
        <v>31</v>
      </c>
      <c r="BA21">
        <f t="shared" si="10"/>
        <v>30</v>
      </c>
      <c r="BB21" s="28">
        <v>37000</v>
      </c>
      <c r="BC21" s="29">
        <f t="shared" si="11"/>
        <v>1193.5483870967741</v>
      </c>
      <c r="BD21" s="28">
        <f t="shared" si="12"/>
        <v>1193.5483870967741</v>
      </c>
      <c r="BE21" s="28">
        <f t="shared" si="13"/>
        <v>35806.451612903227</v>
      </c>
    </row>
    <row r="22" spans="4:59" ht="15.6" x14ac:dyDescent="0.3">
      <c r="D22" s="42"/>
      <c r="E22" s="42"/>
      <c r="F22" s="42"/>
      <c r="G22" s="59">
        <v>14</v>
      </c>
      <c r="H22" s="10">
        <v>1014</v>
      </c>
      <c r="I22" s="11" t="s">
        <v>16</v>
      </c>
      <c r="J22" s="54">
        <f t="shared" si="3"/>
        <v>5</v>
      </c>
      <c r="K22" s="3" t="s">
        <v>43</v>
      </c>
      <c r="L22" s="3" t="s">
        <v>43</v>
      </c>
      <c r="M22" s="3" t="str">
        <f t="shared" si="15"/>
        <v>WO</v>
      </c>
      <c r="N22" s="3" t="s">
        <v>43</v>
      </c>
      <c r="O22" s="53" t="s">
        <v>41</v>
      </c>
      <c r="P22" s="3" t="s">
        <v>43</v>
      </c>
      <c r="Q22" s="3" t="s">
        <v>43</v>
      </c>
      <c r="R22" s="3" t="s">
        <v>43</v>
      </c>
      <c r="S22" s="3" t="s">
        <v>43</v>
      </c>
      <c r="T22" s="3" t="str">
        <f t="shared" si="15"/>
        <v>WO</v>
      </c>
      <c r="U22" s="3" t="s">
        <v>43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tr">
        <f t="shared" si="14"/>
        <v>WO</v>
      </c>
      <c r="AB22" s="3" t="s">
        <v>44</v>
      </c>
      <c r="AC22" s="3" t="s">
        <v>43</v>
      </c>
      <c r="AD22" s="53" t="s">
        <v>41</v>
      </c>
      <c r="AE22" s="3" t="s">
        <v>43</v>
      </c>
      <c r="AF22" s="3" t="s">
        <v>43</v>
      </c>
      <c r="AG22" s="3" t="s">
        <v>43</v>
      </c>
      <c r="AH22" s="3" t="str">
        <f t="shared" si="14"/>
        <v>WO</v>
      </c>
      <c r="AI22" s="3" t="s">
        <v>43</v>
      </c>
      <c r="AJ22" s="3" t="s">
        <v>43</v>
      </c>
      <c r="AK22" s="53" t="s">
        <v>41</v>
      </c>
      <c r="AL22" s="3" t="s">
        <v>43</v>
      </c>
      <c r="AM22" s="3" t="s">
        <v>43</v>
      </c>
      <c r="AN22" s="3" t="s">
        <v>43</v>
      </c>
      <c r="AO22" s="36" t="str">
        <f t="shared" si="14"/>
        <v>WO</v>
      </c>
      <c r="AP22" s="42"/>
      <c r="AQ22" s="42"/>
      <c r="AR22" s="3">
        <v>14</v>
      </c>
      <c r="AS22" s="3">
        <v>1014</v>
      </c>
      <c r="AT22" s="3" t="str">
        <f t="shared" si="4"/>
        <v>August</v>
      </c>
      <c r="AU22" s="36" t="s">
        <v>16</v>
      </c>
      <c r="AV22">
        <f t="shared" si="5"/>
        <v>22</v>
      </c>
      <c r="AW22">
        <f t="shared" si="6"/>
        <v>1</v>
      </c>
      <c r="AX22">
        <f t="shared" si="7"/>
        <v>3</v>
      </c>
      <c r="AY22">
        <f t="shared" si="8"/>
        <v>5</v>
      </c>
      <c r="AZ22">
        <f t="shared" si="9"/>
        <v>31</v>
      </c>
      <c r="BA22">
        <f t="shared" si="10"/>
        <v>30</v>
      </c>
      <c r="BB22" s="28">
        <v>41000</v>
      </c>
      <c r="BC22" s="29">
        <f t="shared" si="11"/>
        <v>1322.5806451612902</v>
      </c>
      <c r="BD22" s="28">
        <f t="shared" si="12"/>
        <v>1322.5806451612902</v>
      </c>
      <c r="BE22" s="28">
        <f t="shared" si="13"/>
        <v>39677.419354838712</v>
      </c>
    </row>
    <row r="23" spans="4:59" ht="15.6" x14ac:dyDescent="0.3">
      <c r="D23" s="42"/>
      <c r="E23" s="42"/>
      <c r="F23" s="42"/>
      <c r="G23" s="59">
        <v>15</v>
      </c>
      <c r="H23" s="10">
        <v>1015</v>
      </c>
      <c r="I23" s="11" t="s">
        <v>17</v>
      </c>
      <c r="J23" s="54">
        <f t="shared" si="3"/>
        <v>5</v>
      </c>
      <c r="K23" s="3" t="s">
        <v>43</v>
      </c>
      <c r="L23" s="3" t="s">
        <v>43</v>
      </c>
      <c r="M23" s="3" t="str">
        <f t="shared" si="15"/>
        <v>WO</v>
      </c>
      <c r="N23" s="3" t="s">
        <v>43</v>
      </c>
      <c r="O23" s="53" t="s">
        <v>41</v>
      </c>
      <c r="P23" s="3" t="s">
        <v>43</v>
      </c>
      <c r="Q23" s="3" t="s">
        <v>43</v>
      </c>
      <c r="R23" s="3" t="s">
        <v>43</v>
      </c>
      <c r="S23" s="3" t="s">
        <v>43</v>
      </c>
      <c r="T23" s="3" t="str">
        <f t="shared" si="15"/>
        <v>WO</v>
      </c>
      <c r="U23" s="3" t="s">
        <v>43</v>
      </c>
      <c r="V23" s="3" t="s">
        <v>43</v>
      </c>
      <c r="W23" s="3" t="s">
        <v>43</v>
      </c>
      <c r="X23" s="3" t="s">
        <v>43</v>
      </c>
      <c r="Y23" s="3" t="s">
        <v>43</v>
      </c>
      <c r="Z23" s="3" t="s">
        <v>43</v>
      </c>
      <c r="AA23" s="3" t="str">
        <f t="shared" si="14"/>
        <v>WO</v>
      </c>
      <c r="AB23" s="3" t="s">
        <v>43</v>
      </c>
      <c r="AC23" s="3" t="s">
        <v>43</v>
      </c>
      <c r="AD23" s="53" t="s">
        <v>41</v>
      </c>
      <c r="AE23" s="3" t="s">
        <v>43</v>
      </c>
      <c r="AF23" s="3" t="s">
        <v>43</v>
      </c>
      <c r="AG23" s="3" t="s">
        <v>43</v>
      </c>
      <c r="AH23" s="3" t="str">
        <f t="shared" si="14"/>
        <v>WO</v>
      </c>
      <c r="AI23" s="3" t="s">
        <v>43</v>
      </c>
      <c r="AJ23" s="3" t="s">
        <v>43</v>
      </c>
      <c r="AK23" s="53" t="s">
        <v>41</v>
      </c>
      <c r="AL23" s="3" t="s">
        <v>44</v>
      </c>
      <c r="AM23" s="3" t="s">
        <v>43</v>
      </c>
      <c r="AN23" s="3" t="s">
        <v>43</v>
      </c>
      <c r="AO23" s="36" t="str">
        <f t="shared" si="14"/>
        <v>WO</v>
      </c>
      <c r="AP23" s="42"/>
      <c r="AQ23" s="42"/>
      <c r="AR23" s="3">
        <v>15</v>
      </c>
      <c r="AS23" s="3">
        <v>1015</v>
      </c>
      <c r="AT23" s="3" t="str">
        <f t="shared" si="4"/>
        <v>August</v>
      </c>
      <c r="AU23" s="36" t="s">
        <v>17</v>
      </c>
      <c r="AV23">
        <f t="shared" si="5"/>
        <v>22</v>
      </c>
      <c r="AW23">
        <f t="shared" si="6"/>
        <v>1</v>
      </c>
      <c r="AX23">
        <f t="shared" si="7"/>
        <v>3</v>
      </c>
      <c r="AY23">
        <f t="shared" si="8"/>
        <v>5</v>
      </c>
      <c r="AZ23">
        <f t="shared" si="9"/>
        <v>31</v>
      </c>
      <c r="BA23">
        <f t="shared" si="10"/>
        <v>30</v>
      </c>
      <c r="BB23" s="28">
        <v>45000</v>
      </c>
      <c r="BC23" s="29">
        <f t="shared" si="11"/>
        <v>1451.6129032258063</v>
      </c>
      <c r="BD23" s="28">
        <f t="shared" si="12"/>
        <v>1451.6129032258063</v>
      </c>
      <c r="BE23" s="28">
        <f t="shared" si="13"/>
        <v>43548.387096774197</v>
      </c>
    </row>
    <row r="24" spans="4:59" ht="15.6" x14ac:dyDescent="0.3">
      <c r="D24" s="42"/>
      <c r="E24" s="42"/>
      <c r="F24" s="42"/>
      <c r="G24" s="59">
        <v>16</v>
      </c>
      <c r="H24" s="10">
        <v>1016</v>
      </c>
      <c r="I24" s="11" t="s">
        <v>18</v>
      </c>
      <c r="J24" s="54">
        <f t="shared" si="3"/>
        <v>5</v>
      </c>
      <c r="K24" s="3" t="s">
        <v>43</v>
      </c>
      <c r="L24" s="3" t="s">
        <v>44</v>
      </c>
      <c r="M24" s="3" t="str">
        <f t="shared" si="15"/>
        <v>WO</v>
      </c>
      <c r="N24" s="3" t="s">
        <v>43</v>
      </c>
      <c r="O24" s="53" t="s">
        <v>41</v>
      </c>
      <c r="P24" s="3" t="s">
        <v>43</v>
      </c>
      <c r="Q24" s="3" t="s">
        <v>43</v>
      </c>
      <c r="R24" s="3" t="s">
        <v>43</v>
      </c>
      <c r="S24" s="3" t="s">
        <v>43</v>
      </c>
      <c r="T24" s="3" t="str">
        <f t="shared" si="15"/>
        <v>WO</v>
      </c>
      <c r="U24" s="3" t="s">
        <v>43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43</v>
      </c>
      <c r="AA24" s="3" t="str">
        <f t="shared" si="14"/>
        <v>WO</v>
      </c>
      <c r="AB24" s="3" t="s">
        <v>43</v>
      </c>
      <c r="AC24" s="3" t="s">
        <v>43</v>
      </c>
      <c r="AD24" s="53" t="s">
        <v>41</v>
      </c>
      <c r="AE24" s="3" t="s">
        <v>43</v>
      </c>
      <c r="AF24" s="3" t="s">
        <v>43</v>
      </c>
      <c r="AG24" s="3" t="s">
        <v>43</v>
      </c>
      <c r="AH24" s="3" t="str">
        <f t="shared" si="14"/>
        <v>WO</v>
      </c>
      <c r="AI24" s="3" t="s">
        <v>43</v>
      </c>
      <c r="AJ24" s="3" t="s">
        <v>43</v>
      </c>
      <c r="AK24" s="53" t="s">
        <v>41</v>
      </c>
      <c r="AL24" s="3" t="s">
        <v>43</v>
      </c>
      <c r="AM24" s="3" t="s">
        <v>43</v>
      </c>
      <c r="AN24" s="3" t="s">
        <v>43</v>
      </c>
      <c r="AO24" s="36" t="str">
        <f t="shared" si="14"/>
        <v>WO</v>
      </c>
      <c r="AP24" s="42"/>
      <c r="AQ24" s="42"/>
      <c r="AR24" s="3">
        <v>16</v>
      </c>
      <c r="AS24" s="3">
        <v>1016</v>
      </c>
      <c r="AT24" s="3" t="str">
        <f t="shared" si="4"/>
        <v>August</v>
      </c>
      <c r="AU24" s="36" t="s">
        <v>18</v>
      </c>
      <c r="AV24">
        <f t="shared" si="5"/>
        <v>22</v>
      </c>
      <c r="AW24">
        <f t="shared" si="6"/>
        <v>1</v>
      </c>
      <c r="AX24">
        <f t="shared" si="7"/>
        <v>3</v>
      </c>
      <c r="AY24">
        <f t="shared" si="8"/>
        <v>5</v>
      </c>
      <c r="AZ24">
        <f t="shared" si="9"/>
        <v>31</v>
      </c>
      <c r="BA24">
        <f t="shared" si="10"/>
        <v>30</v>
      </c>
      <c r="BB24" s="28">
        <v>21000</v>
      </c>
      <c r="BC24" s="29">
        <f t="shared" si="11"/>
        <v>677.41935483870964</v>
      </c>
      <c r="BD24" s="28">
        <f t="shared" si="12"/>
        <v>677.41935483870964</v>
      </c>
      <c r="BE24" s="28">
        <f t="shared" si="13"/>
        <v>20322.580645161292</v>
      </c>
    </row>
    <row r="25" spans="4:59" ht="15.6" x14ac:dyDescent="0.3">
      <c r="D25" s="42"/>
      <c r="E25" s="42"/>
      <c r="F25" s="42"/>
      <c r="G25" s="59">
        <v>17</v>
      </c>
      <c r="H25" s="10">
        <v>1017</v>
      </c>
      <c r="I25" s="11" t="s">
        <v>19</v>
      </c>
      <c r="J25" s="54">
        <f t="shared" si="3"/>
        <v>5</v>
      </c>
      <c r="K25" s="3" t="s">
        <v>43</v>
      </c>
      <c r="L25" s="3" t="s">
        <v>43</v>
      </c>
      <c r="M25" s="3" t="str">
        <f t="shared" si="15"/>
        <v>WO</v>
      </c>
      <c r="N25" s="3" t="s">
        <v>43</v>
      </c>
      <c r="O25" s="53" t="s">
        <v>41</v>
      </c>
      <c r="P25" s="3" t="s">
        <v>43</v>
      </c>
      <c r="Q25" s="3" t="s">
        <v>43</v>
      </c>
      <c r="R25" s="3" t="s">
        <v>43</v>
      </c>
      <c r="S25" s="3" t="s">
        <v>44</v>
      </c>
      <c r="T25" s="3" t="str">
        <f t="shared" si="15"/>
        <v>WO</v>
      </c>
      <c r="U25" s="3" t="s">
        <v>43</v>
      </c>
      <c r="V25" s="3" t="s">
        <v>43</v>
      </c>
      <c r="W25" s="3" t="s">
        <v>43</v>
      </c>
      <c r="X25" s="3" t="s">
        <v>43</v>
      </c>
      <c r="Y25" s="3" t="s">
        <v>43</v>
      </c>
      <c r="Z25" s="3" t="s">
        <v>43</v>
      </c>
      <c r="AA25" s="3" t="str">
        <f t="shared" si="14"/>
        <v>WO</v>
      </c>
      <c r="AB25" s="3" t="s">
        <v>43</v>
      </c>
      <c r="AC25" s="3" t="s">
        <v>43</v>
      </c>
      <c r="AD25" s="53" t="s">
        <v>41</v>
      </c>
      <c r="AE25" s="3" t="s">
        <v>43</v>
      </c>
      <c r="AF25" s="3" t="s">
        <v>43</v>
      </c>
      <c r="AG25" s="3" t="s">
        <v>43</v>
      </c>
      <c r="AH25" s="3" t="str">
        <f t="shared" si="14"/>
        <v>WO</v>
      </c>
      <c r="AI25" s="3" t="s">
        <v>43</v>
      </c>
      <c r="AJ25" s="3" t="s">
        <v>44</v>
      </c>
      <c r="AK25" s="53" t="s">
        <v>41</v>
      </c>
      <c r="AL25" s="3" t="s">
        <v>43</v>
      </c>
      <c r="AM25" s="3" t="s">
        <v>43</v>
      </c>
      <c r="AN25" s="3" t="s">
        <v>43</v>
      </c>
      <c r="AO25" s="36" t="str">
        <f t="shared" si="14"/>
        <v>WO</v>
      </c>
      <c r="AP25" s="42"/>
      <c r="AQ25" s="42"/>
      <c r="AR25" s="3">
        <v>17</v>
      </c>
      <c r="AS25" s="3">
        <v>1017</v>
      </c>
      <c r="AT25" s="3" t="str">
        <f t="shared" si="4"/>
        <v>August</v>
      </c>
      <c r="AU25" s="36" t="s">
        <v>19</v>
      </c>
      <c r="AV25">
        <f t="shared" si="5"/>
        <v>21</v>
      </c>
      <c r="AW25">
        <f t="shared" si="6"/>
        <v>2</v>
      </c>
      <c r="AX25">
        <f t="shared" si="7"/>
        <v>3</v>
      </c>
      <c r="AY25">
        <f t="shared" si="8"/>
        <v>5</v>
      </c>
      <c r="AZ25">
        <f t="shared" si="9"/>
        <v>31</v>
      </c>
      <c r="BA25">
        <f t="shared" si="10"/>
        <v>29</v>
      </c>
      <c r="BB25" s="28">
        <v>26000</v>
      </c>
      <c r="BC25" s="29">
        <f t="shared" si="11"/>
        <v>838.70967741935488</v>
      </c>
      <c r="BD25" s="28">
        <f t="shared" si="12"/>
        <v>1677.4193548387098</v>
      </c>
      <c r="BE25" s="28">
        <f t="shared" si="13"/>
        <v>24322.580645161292</v>
      </c>
    </row>
    <row r="26" spans="4:59" ht="15.6" x14ac:dyDescent="0.3">
      <c r="D26" s="42"/>
      <c r="E26" s="42"/>
      <c r="F26" s="42"/>
      <c r="G26" s="59">
        <v>18</v>
      </c>
      <c r="H26" s="10">
        <v>1018</v>
      </c>
      <c r="I26" s="11" t="s">
        <v>20</v>
      </c>
      <c r="J26" s="54">
        <f t="shared" si="3"/>
        <v>5</v>
      </c>
      <c r="K26" s="3" t="s">
        <v>43</v>
      </c>
      <c r="L26" s="3" t="s">
        <v>43</v>
      </c>
      <c r="M26" s="3" t="str">
        <f t="shared" si="15"/>
        <v>WO</v>
      </c>
      <c r="N26" s="3" t="s">
        <v>44</v>
      </c>
      <c r="O26" s="53" t="s">
        <v>41</v>
      </c>
      <c r="P26" s="3" t="s">
        <v>43</v>
      </c>
      <c r="Q26" s="3" t="s">
        <v>43</v>
      </c>
      <c r="R26" s="3" t="s">
        <v>43</v>
      </c>
      <c r="S26" s="3" t="s">
        <v>43</v>
      </c>
      <c r="T26" s="3" t="str">
        <f t="shared" si="15"/>
        <v>WO</v>
      </c>
      <c r="U26" s="3" t="s">
        <v>43</v>
      </c>
      <c r="V26" s="3" t="s">
        <v>43</v>
      </c>
      <c r="W26" s="3" t="s">
        <v>43</v>
      </c>
      <c r="X26" s="3" t="s">
        <v>44</v>
      </c>
      <c r="Y26" s="3" t="s">
        <v>43</v>
      </c>
      <c r="Z26" s="3" t="s">
        <v>43</v>
      </c>
      <c r="AA26" s="3" t="str">
        <f t="shared" si="14"/>
        <v>WO</v>
      </c>
      <c r="AB26" s="3" t="s">
        <v>43</v>
      </c>
      <c r="AC26" s="3" t="s">
        <v>43</v>
      </c>
      <c r="AD26" s="53" t="s">
        <v>41</v>
      </c>
      <c r="AE26" s="3" t="s">
        <v>43</v>
      </c>
      <c r="AF26" s="3" t="s">
        <v>43</v>
      </c>
      <c r="AG26" s="3" t="s">
        <v>43</v>
      </c>
      <c r="AH26" s="3" t="str">
        <f t="shared" si="14"/>
        <v>WO</v>
      </c>
      <c r="AI26" s="3" t="s">
        <v>43</v>
      </c>
      <c r="AJ26" s="3" t="s">
        <v>43</v>
      </c>
      <c r="AK26" s="53" t="s">
        <v>41</v>
      </c>
      <c r="AL26" s="3" t="s">
        <v>43</v>
      </c>
      <c r="AM26" s="3" t="s">
        <v>43</v>
      </c>
      <c r="AN26" s="3" t="s">
        <v>44</v>
      </c>
      <c r="AO26" s="36" t="str">
        <f t="shared" si="14"/>
        <v>WO</v>
      </c>
      <c r="AP26" s="42"/>
      <c r="AQ26" s="42"/>
      <c r="AR26" s="3">
        <v>18</v>
      </c>
      <c r="AS26" s="3">
        <v>1018</v>
      </c>
      <c r="AT26" s="3" t="str">
        <f t="shared" si="4"/>
        <v>August</v>
      </c>
      <c r="AU26" s="36" t="s">
        <v>20</v>
      </c>
      <c r="AV26">
        <f t="shared" si="5"/>
        <v>20</v>
      </c>
      <c r="AW26">
        <f t="shared" si="6"/>
        <v>3</v>
      </c>
      <c r="AX26">
        <f t="shared" si="7"/>
        <v>3</v>
      </c>
      <c r="AY26">
        <f t="shared" si="8"/>
        <v>5</v>
      </c>
      <c r="AZ26">
        <f t="shared" si="9"/>
        <v>31</v>
      </c>
      <c r="BA26">
        <f t="shared" si="10"/>
        <v>28</v>
      </c>
      <c r="BB26" s="28">
        <v>35000</v>
      </c>
      <c r="BC26" s="29">
        <f t="shared" si="11"/>
        <v>1129.0322580645161</v>
      </c>
      <c r="BD26" s="28">
        <f t="shared" si="12"/>
        <v>3387.0967741935483</v>
      </c>
      <c r="BE26" s="28">
        <f t="shared" si="13"/>
        <v>31612.903225806451</v>
      </c>
    </row>
    <row r="27" spans="4:59" ht="15.6" x14ac:dyDescent="0.3">
      <c r="D27" s="42"/>
      <c r="E27" s="42"/>
      <c r="F27" s="42"/>
      <c r="G27" s="59">
        <v>19</v>
      </c>
      <c r="H27" s="10">
        <v>1019</v>
      </c>
      <c r="I27" s="11" t="s">
        <v>21</v>
      </c>
      <c r="J27" s="54">
        <f t="shared" si="3"/>
        <v>5</v>
      </c>
      <c r="K27" s="3" t="s">
        <v>43</v>
      </c>
      <c r="L27" s="3" t="s">
        <v>43</v>
      </c>
      <c r="M27" s="3" t="str">
        <f t="shared" si="15"/>
        <v>WO</v>
      </c>
      <c r="N27" s="3" t="s">
        <v>43</v>
      </c>
      <c r="O27" s="53" t="s">
        <v>41</v>
      </c>
      <c r="P27" s="3" t="s">
        <v>43</v>
      </c>
      <c r="Q27" s="3" t="s">
        <v>43</v>
      </c>
      <c r="R27" s="3" t="s">
        <v>43</v>
      </c>
      <c r="S27" s="3" t="s">
        <v>43</v>
      </c>
      <c r="T27" s="3" t="str">
        <f t="shared" si="15"/>
        <v>WO</v>
      </c>
      <c r="U27" s="3" t="s">
        <v>43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tr">
        <f t="shared" si="14"/>
        <v>WO</v>
      </c>
      <c r="AB27" s="3" t="s">
        <v>43</v>
      </c>
      <c r="AC27" s="3" t="s">
        <v>43</v>
      </c>
      <c r="AD27" s="53" t="s">
        <v>41</v>
      </c>
      <c r="AE27" s="3" t="s">
        <v>43</v>
      </c>
      <c r="AF27" s="3" t="s">
        <v>43</v>
      </c>
      <c r="AG27" s="3" t="s">
        <v>43</v>
      </c>
      <c r="AH27" s="3" t="str">
        <f t="shared" si="14"/>
        <v>WO</v>
      </c>
      <c r="AI27" s="3" t="s">
        <v>43</v>
      </c>
      <c r="AJ27" s="3" t="s">
        <v>43</v>
      </c>
      <c r="AK27" s="53" t="s">
        <v>41</v>
      </c>
      <c r="AL27" s="3" t="s">
        <v>43</v>
      </c>
      <c r="AM27" s="3" t="s">
        <v>43</v>
      </c>
      <c r="AN27" s="3" t="s">
        <v>43</v>
      </c>
      <c r="AO27" s="36" t="str">
        <f t="shared" si="14"/>
        <v>WO</v>
      </c>
      <c r="AP27" s="42"/>
      <c r="AQ27" s="42"/>
      <c r="AR27" s="3">
        <v>19</v>
      </c>
      <c r="AS27" s="3">
        <v>1019</v>
      </c>
      <c r="AT27" s="3" t="str">
        <f t="shared" si="4"/>
        <v>August</v>
      </c>
      <c r="AU27" s="36" t="s">
        <v>21</v>
      </c>
      <c r="AV27">
        <f t="shared" si="5"/>
        <v>23</v>
      </c>
      <c r="AW27">
        <f t="shared" si="6"/>
        <v>0</v>
      </c>
      <c r="AX27">
        <f t="shared" si="7"/>
        <v>3</v>
      </c>
      <c r="AY27">
        <f t="shared" si="8"/>
        <v>5</v>
      </c>
      <c r="AZ27">
        <f t="shared" si="9"/>
        <v>31</v>
      </c>
      <c r="BA27">
        <f t="shared" si="10"/>
        <v>31</v>
      </c>
      <c r="BB27" s="28">
        <v>55000</v>
      </c>
      <c r="BC27" s="29">
        <f t="shared" si="11"/>
        <v>1774.1935483870968</v>
      </c>
      <c r="BD27" s="28">
        <f t="shared" si="12"/>
        <v>0</v>
      </c>
      <c r="BE27" s="28">
        <f t="shared" si="13"/>
        <v>55000</v>
      </c>
    </row>
    <row r="28" spans="4:59" ht="16.2" thickBot="1" x14ac:dyDescent="0.35">
      <c r="D28" s="42"/>
      <c r="E28" s="42"/>
      <c r="F28" s="42"/>
      <c r="G28" s="61">
        <v>20</v>
      </c>
      <c r="H28" s="62">
        <v>1020</v>
      </c>
      <c r="I28" s="63" t="s">
        <v>22</v>
      </c>
      <c r="J28" s="74">
        <f t="shared" si="3"/>
        <v>5</v>
      </c>
      <c r="K28" s="37" t="s">
        <v>43</v>
      </c>
      <c r="L28" s="37" t="s">
        <v>43</v>
      </c>
      <c r="M28" s="37" t="str">
        <f t="shared" si="15"/>
        <v>WO</v>
      </c>
      <c r="N28" s="37" t="s">
        <v>43</v>
      </c>
      <c r="O28" s="75" t="s">
        <v>41</v>
      </c>
      <c r="P28" s="37" t="s">
        <v>44</v>
      </c>
      <c r="Q28" s="37" t="s">
        <v>43</v>
      </c>
      <c r="R28" s="37" t="s">
        <v>43</v>
      </c>
      <c r="S28" s="37" t="s">
        <v>43</v>
      </c>
      <c r="T28" s="37" t="str">
        <f t="shared" si="15"/>
        <v>WO</v>
      </c>
      <c r="U28" s="37" t="s">
        <v>43</v>
      </c>
      <c r="V28" s="37" t="s">
        <v>43</v>
      </c>
      <c r="W28" s="37" t="s">
        <v>43</v>
      </c>
      <c r="X28" s="37" t="s">
        <v>43</v>
      </c>
      <c r="Y28" s="37" t="s">
        <v>43</v>
      </c>
      <c r="Z28" s="37" t="s">
        <v>43</v>
      </c>
      <c r="AA28" s="37" t="str">
        <f t="shared" si="14"/>
        <v>WO</v>
      </c>
      <c r="AB28" s="37" t="s">
        <v>43</v>
      </c>
      <c r="AC28" s="37" t="s">
        <v>43</v>
      </c>
      <c r="AD28" s="75" t="s">
        <v>41</v>
      </c>
      <c r="AE28" s="37" t="s">
        <v>44</v>
      </c>
      <c r="AF28" s="37" t="s">
        <v>43</v>
      </c>
      <c r="AG28" s="37" t="s">
        <v>43</v>
      </c>
      <c r="AH28" s="37" t="str">
        <f t="shared" si="14"/>
        <v>WO</v>
      </c>
      <c r="AI28" s="37" t="s">
        <v>43</v>
      </c>
      <c r="AJ28" s="37" t="s">
        <v>43</v>
      </c>
      <c r="AK28" s="75" t="s">
        <v>41</v>
      </c>
      <c r="AL28" s="37" t="s">
        <v>43</v>
      </c>
      <c r="AM28" s="37" t="s">
        <v>43</v>
      </c>
      <c r="AN28" s="37" t="s">
        <v>43</v>
      </c>
      <c r="AO28" s="38" t="str">
        <f t="shared" si="14"/>
        <v>WO</v>
      </c>
      <c r="AP28" s="42"/>
      <c r="AQ28" s="42"/>
      <c r="AR28" s="37">
        <v>20</v>
      </c>
      <c r="AS28" s="37">
        <v>1020</v>
      </c>
      <c r="AT28" s="37" t="str">
        <f t="shared" si="4"/>
        <v>August</v>
      </c>
      <c r="AU28" s="38" t="s">
        <v>22</v>
      </c>
      <c r="AV28" s="33">
        <f t="shared" si="5"/>
        <v>21</v>
      </c>
      <c r="AW28" s="33">
        <f t="shared" si="6"/>
        <v>2</v>
      </c>
      <c r="AX28" s="33">
        <f t="shared" si="7"/>
        <v>3</v>
      </c>
      <c r="AY28" s="33">
        <f t="shared" si="8"/>
        <v>5</v>
      </c>
      <c r="AZ28" s="33">
        <f t="shared" si="9"/>
        <v>31</v>
      </c>
      <c r="BA28" s="33">
        <f t="shared" si="10"/>
        <v>29</v>
      </c>
      <c r="BB28" s="34">
        <v>44000</v>
      </c>
      <c r="BC28" s="35">
        <f t="shared" si="11"/>
        <v>1419.3548387096773</v>
      </c>
      <c r="BD28" s="34">
        <f t="shared" si="12"/>
        <v>2838.7096774193546</v>
      </c>
      <c r="BE28" s="34">
        <f t="shared" si="13"/>
        <v>41161.290322580644</v>
      </c>
    </row>
    <row r="29" spans="4:59" x14ac:dyDescent="0.3"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</row>
    <row r="30" spans="4:59" x14ac:dyDescent="0.3"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</row>
    <row r="31" spans="4:59" x14ac:dyDescent="0.3"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</row>
    <row r="32" spans="4:59" x14ac:dyDescent="0.3"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</row>
    <row r="33" spans="4:59" x14ac:dyDescent="0.3"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</row>
    <row r="34" spans="4:59" x14ac:dyDescent="0.3"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4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</row>
    <row r="35" spans="4:59" x14ac:dyDescent="0.3"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</row>
    <row r="36" spans="4:59" x14ac:dyDescent="0.3"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</row>
    <row r="37" spans="4:59" x14ac:dyDescent="0.3"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</row>
    <row r="38" spans="4:59" x14ac:dyDescent="0.3"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</row>
    <row r="39" spans="4:59" x14ac:dyDescent="0.3"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</row>
    <row r="40" spans="4:59" x14ac:dyDescent="0.3"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</row>
    <row r="41" spans="4:59" x14ac:dyDescent="0.3"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</row>
    <row r="42" spans="4:59" x14ac:dyDescent="0.3"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</row>
    <row r="43" spans="4:59" x14ac:dyDescent="0.3"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</row>
    <row r="44" spans="4:59" x14ac:dyDescent="0.3"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</row>
  </sheetData>
  <mergeCells count="1">
    <mergeCell ref="G7:I7"/>
  </mergeCells>
  <conditionalFormatting sqref="K9:AO28">
    <cfRule type="containsText" dxfId="19" priority="1" operator="containsText" text="L">
      <formula>NOT(ISERROR(SEARCH("L",K9)))</formula>
    </cfRule>
    <cfRule type="containsText" dxfId="18" priority="2" operator="containsText" text="A">
      <formula>NOT(ISERROR(SEARCH("A",K9)))</formula>
    </cfRule>
    <cfRule type="containsText" dxfId="17" priority="3" operator="containsText" text="P">
      <formula>NOT(ISERROR(SEARCH("P",K9)))</formula>
    </cfRule>
    <cfRule type="containsText" dxfId="16" priority="4" operator="containsText" text="WO">
      <formula>NOT(ISERROR(SEARCH("WO",K9)))</formula>
    </cfRule>
  </conditionalFormatting>
  <dataValidations count="1">
    <dataValidation type="list" allowBlank="1" showInputMessage="1" showErrorMessage="1" sqref="K9:L28 AB9:AG28 U9:Z28 N9:S28 AI9:AN28" xr:uid="{32BEDE17-4063-4560-8701-5A558D1CC4B6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ED6F70-AEAF-482D-82DA-7B2E97742B75}">
          <x14:formula1>
            <xm:f>Rough!$A$1:$A$12</xm:f>
          </x14:formula1>
          <xm:sqref>H5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A387-4E17-44B5-A427-BE4BBC4457F0}">
  <dimension ref="D1:BG44"/>
  <sheetViews>
    <sheetView topLeftCell="A18" zoomScaleNormal="100" workbookViewId="0"/>
  </sheetViews>
  <sheetFormatPr defaultRowHeight="14.4" x14ac:dyDescent="0.3"/>
  <cols>
    <col min="7" max="7" width="9.6640625" customWidth="1"/>
    <col min="8" max="8" width="14.88671875" customWidth="1"/>
    <col min="9" max="9" width="20.21875" customWidth="1"/>
    <col min="10" max="10" width="12.6640625" bestFit="1" customWidth="1"/>
    <col min="11" max="11" width="7" bestFit="1" customWidth="1"/>
    <col min="12" max="12" width="6.5546875" bestFit="1" customWidth="1"/>
    <col min="13" max="13" width="7.33203125" bestFit="1" customWidth="1"/>
    <col min="14" max="14" width="6.77734375" bestFit="1" customWidth="1"/>
    <col min="15" max="15" width="5.109375" bestFit="1" customWidth="1"/>
    <col min="16" max="16" width="5.77734375" bestFit="1" customWidth="1"/>
    <col min="17" max="17" width="6.77734375" bestFit="1" customWidth="1"/>
    <col min="18" max="18" width="7" bestFit="1" customWidth="1"/>
    <col min="19" max="19" width="6.5546875" bestFit="1" customWidth="1"/>
    <col min="20" max="20" width="7.33203125" bestFit="1" customWidth="1"/>
    <col min="21" max="21" width="6.77734375" bestFit="1" customWidth="1"/>
    <col min="22" max="22" width="5.109375" bestFit="1" customWidth="1"/>
    <col min="23" max="23" width="5.77734375" bestFit="1" customWidth="1"/>
    <col min="24" max="24" width="6.77734375" bestFit="1" customWidth="1"/>
    <col min="25" max="25" width="7" bestFit="1" customWidth="1"/>
    <col min="26" max="26" width="6.5546875" bestFit="1" customWidth="1"/>
    <col min="27" max="27" width="7.33203125" bestFit="1" customWidth="1"/>
    <col min="28" max="28" width="6.77734375" bestFit="1" customWidth="1"/>
    <col min="29" max="29" width="5.109375" bestFit="1" customWidth="1"/>
    <col min="30" max="30" width="5.77734375" bestFit="1" customWidth="1"/>
    <col min="31" max="31" width="6.77734375" bestFit="1" customWidth="1"/>
    <col min="32" max="32" width="7" bestFit="1" customWidth="1"/>
    <col min="33" max="33" width="6.5546875" bestFit="1" customWidth="1"/>
    <col min="34" max="34" width="7.33203125" bestFit="1" customWidth="1"/>
    <col min="35" max="35" width="6.77734375" bestFit="1" customWidth="1"/>
    <col min="36" max="36" width="5.109375" bestFit="1" customWidth="1"/>
    <col min="37" max="37" width="5.77734375" bestFit="1" customWidth="1"/>
    <col min="38" max="38" width="6.77734375" bestFit="1" customWidth="1"/>
    <col min="39" max="39" width="7" bestFit="1" customWidth="1"/>
    <col min="40" max="40" width="6.5546875" bestFit="1" customWidth="1"/>
    <col min="41" max="41" width="3.77734375" bestFit="1" customWidth="1"/>
    <col min="44" max="44" width="7" customWidth="1"/>
    <col min="45" max="45" width="15.33203125" customWidth="1"/>
    <col min="46" max="46" width="12.5546875" customWidth="1"/>
    <col min="47" max="47" width="19" bestFit="1" customWidth="1"/>
    <col min="48" max="49" width="10.109375" customWidth="1"/>
    <col min="51" max="51" width="11.109375" customWidth="1"/>
    <col min="53" max="53" width="12.5546875" customWidth="1"/>
    <col min="54" max="54" width="12" bestFit="1" customWidth="1"/>
    <col min="55" max="55" width="16.77734375" customWidth="1"/>
    <col min="56" max="56" width="12.5546875" customWidth="1"/>
    <col min="57" max="57" width="14.44140625" customWidth="1"/>
  </cols>
  <sheetData>
    <row r="1" spans="4:59" x14ac:dyDescent="0.3">
      <c r="AQ1" s="42"/>
    </row>
    <row r="2" spans="4:59" x14ac:dyDescent="0.3">
      <c r="AQ2" s="42"/>
    </row>
    <row r="3" spans="4:59" x14ac:dyDescent="0.3">
      <c r="AQ3" s="42"/>
    </row>
    <row r="4" spans="4:59" x14ac:dyDescent="0.3">
      <c r="D4" s="42"/>
      <c r="E4" s="42"/>
      <c r="F4" s="42"/>
      <c r="G4" s="68"/>
      <c r="H4" s="68"/>
      <c r="I4" s="68">
        <f>(DATEDIF($H$5,$H$6,"D")+1)</f>
        <v>30</v>
      </c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</row>
    <row r="5" spans="4:59" x14ac:dyDescent="0.3">
      <c r="D5" s="42"/>
      <c r="E5" s="42"/>
      <c r="F5" s="42"/>
      <c r="G5" s="68" t="s">
        <v>26</v>
      </c>
      <c r="H5" s="69">
        <v>45901</v>
      </c>
      <c r="I5" s="68" t="str">
        <f>TEXT(H5,"MMMM")</f>
        <v>September</v>
      </c>
      <c r="J5" s="42"/>
      <c r="K5" s="42"/>
      <c r="L5" s="42"/>
      <c r="M5" s="43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</row>
    <row r="6" spans="4:59" ht="15" thickBot="1" x14ac:dyDescent="0.35">
      <c r="D6" s="42"/>
      <c r="E6" s="42"/>
      <c r="F6" s="42"/>
      <c r="G6" s="68" t="s">
        <v>27</v>
      </c>
      <c r="H6" s="69">
        <f>EOMONTH(H5,0)</f>
        <v>45930</v>
      </c>
      <c r="I6" s="68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</row>
    <row r="7" spans="4:59" ht="15.6" x14ac:dyDescent="0.3">
      <c r="D7" s="42"/>
      <c r="E7" s="42"/>
      <c r="F7" s="42"/>
      <c r="G7" s="83" t="s">
        <v>29</v>
      </c>
      <c r="H7" s="84"/>
      <c r="I7" s="84"/>
      <c r="J7" s="70" t="s">
        <v>28</v>
      </c>
      <c r="K7" s="70" t="str">
        <f>TEXT(K8,"DDD")</f>
        <v>Mon</v>
      </c>
      <c r="L7" s="70" t="str">
        <f t="shared" ref="L7:AO7" si="0">TEXT(L8,"DDD")</f>
        <v>Tue</v>
      </c>
      <c r="M7" s="70" t="str">
        <f t="shared" si="0"/>
        <v>Wed</v>
      </c>
      <c r="N7" s="70" t="str">
        <f t="shared" si="0"/>
        <v>Thu</v>
      </c>
      <c r="O7" s="70" t="str">
        <f t="shared" si="0"/>
        <v>Fri</v>
      </c>
      <c r="P7" s="70" t="str">
        <f t="shared" si="0"/>
        <v>Sat</v>
      </c>
      <c r="Q7" s="70" t="str">
        <f t="shared" si="0"/>
        <v>Sun</v>
      </c>
      <c r="R7" s="70" t="str">
        <f t="shared" si="0"/>
        <v>Mon</v>
      </c>
      <c r="S7" s="70" t="str">
        <f t="shared" si="0"/>
        <v>Tue</v>
      </c>
      <c r="T7" s="70" t="str">
        <f t="shared" si="0"/>
        <v>Wed</v>
      </c>
      <c r="U7" s="70" t="str">
        <f t="shared" si="0"/>
        <v>Thu</v>
      </c>
      <c r="V7" s="70" t="str">
        <f t="shared" si="0"/>
        <v>Fri</v>
      </c>
      <c r="W7" s="70" t="str">
        <f t="shared" si="0"/>
        <v>Sat</v>
      </c>
      <c r="X7" s="70" t="str">
        <f t="shared" si="0"/>
        <v>Sun</v>
      </c>
      <c r="Y7" s="70" t="str">
        <f t="shared" si="0"/>
        <v>Mon</v>
      </c>
      <c r="Z7" s="70" t="str">
        <f t="shared" si="0"/>
        <v>Tue</v>
      </c>
      <c r="AA7" s="70" t="str">
        <f t="shared" si="0"/>
        <v>Wed</v>
      </c>
      <c r="AB7" s="70" t="str">
        <f t="shared" si="0"/>
        <v>Thu</v>
      </c>
      <c r="AC7" s="70" t="str">
        <f t="shared" si="0"/>
        <v>Fri</v>
      </c>
      <c r="AD7" s="70" t="str">
        <f t="shared" si="0"/>
        <v>Sat</v>
      </c>
      <c r="AE7" s="70" t="str">
        <f t="shared" si="0"/>
        <v>Sun</v>
      </c>
      <c r="AF7" s="70" t="str">
        <f t="shared" si="0"/>
        <v>Mon</v>
      </c>
      <c r="AG7" s="70" t="str">
        <f t="shared" si="0"/>
        <v>Tue</v>
      </c>
      <c r="AH7" s="70" t="str">
        <f t="shared" si="0"/>
        <v>Wed</v>
      </c>
      <c r="AI7" s="70" t="str">
        <f t="shared" si="0"/>
        <v>Thu</v>
      </c>
      <c r="AJ7" s="70" t="str">
        <f t="shared" si="0"/>
        <v>Fri</v>
      </c>
      <c r="AK7" s="70" t="str">
        <f t="shared" si="0"/>
        <v>Sat</v>
      </c>
      <c r="AL7" s="70" t="str">
        <f t="shared" si="0"/>
        <v>Sun</v>
      </c>
      <c r="AM7" s="70" t="str">
        <f t="shared" si="0"/>
        <v>Mon</v>
      </c>
      <c r="AN7" s="70" t="str">
        <f t="shared" si="0"/>
        <v>Tue</v>
      </c>
      <c r="AO7" s="71" t="str">
        <f t="shared" si="0"/>
        <v/>
      </c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</row>
    <row r="8" spans="4:59" ht="16.2" thickBot="1" x14ac:dyDescent="0.35">
      <c r="D8" s="42"/>
      <c r="E8" s="42"/>
      <c r="F8" s="42"/>
      <c r="G8" s="57" t="s">
        <v>0</v>
      </c>
      <c r="H8" s="7" t="s">
        <v>23</v>
      </c>
      <c r="I8" s="8" t="s">
        <v>24</v>
      </c>
      <c r="J8" s="50" t="s">
        <v>25</v>
      </c>
      <c r="K8" s="51">
        <f>H5</f>
        <v>45901</v>
      </c>
      <c r="L8" s="51">
        <f>IF(K8&lt;$H$6,K8+1,"")</f>
        <v>45902</v>
      </c>
      <c r="M8" s="51">
        <f t="shared" ref="M8:AO8" si="1">IF(L8&lt;$H$6,L8+1,"")</f>
        <v>45903</v>
      </c>
      <c r="N8" s="51">
        <f t="shared" si="1"/>
        <v>45904</v>
      </c>
      <c r="O8" s="51">
        <f t="shared" si="1"/>
        <v>45905</v>
      </c>
      <c r="P8" s="51">
        <f t="shared" si="1"/>
        <v>45906</v>
      </c>
      <c r="Q8" s="51">
        <f t="shared" si="1"/>
        <v>45907</v>
      </c>
      <c r="R8" s="51">
        <f t="shared" si="1"/>
        <v>45908</v>
      </c>
      <c r="S8" s="51">
        <f t="shared" si="1"/>
        <v>45909</v>
      </c>
      <c r="T8" s="51">
        <f t="shared" si="1"/>
        <v>45910</v>
      </c>
      <c r="U8" s="51">
        <f t="shared" si="1"/>
        <v>45911</v>
      </c>
      <c r="V8" s="51">
        <f t="shared" si="1"/>
        <v>45912</v>
      </c>
      <c r="W8" s="51">
        <f t="shared" si="1"/>
        <v>45913</v>
      </c>
      <c r="X8" s="51">
        <f t="shared" si="1"/>
        <v>45914</v>
      </c>
      <c r="Y8" s="51">
        <f t="shared" si="1"/>
        <v>45915</v>
      </c>
      <c r="Z8" s="51">
        <f t="shared" si="1"/>
        <v>45916</v>
      </c>
      <c r="AA8" s="51">
        <f t="shared" si="1"/>
        <v>45917</v>
      </c>
      <c r="AB8" s="51">
        <f t="shared" si="1"/>
        <v>45918</v>
      </c>
      <c r="AC8" s="51">
        <f>IF(AB8&lt;$H$6,AB8+1,"")</f>
        <v>45919</v>
      </c>
      <c r="AD8" s="51">
        <f t="shared" si="1"/>
        <v>45920</v>
      </c>
      <c r="AE8" s="51">
        <f t="shared" si="1"/>
        <v>45921</v>
      </c>
      <c r="AF8" s="51">
        <f t="shared" si="1"/>
        <v>45922</v>
      </c>
      <c r="AG8" s="51">
        <f t="shared" si="1"/>
        <v>45923</v>
      </c>
      <c r="AH8" s="51">
        <f t="shared" si="1"/>
        <v>45924</v>
      </c>
      <c r="AI8" s="51">
        <f t="shared" si="1"/>
        <v>45925</v>
      </c>
      <c r="AJ8" s="51">
        <f t="shared" si="1"/>
        <v>45926</v>
      </c>
      <c r="AK8" s="51">
        <f t="shared" si="1"/>
        <v>45927</v>
      </c>
      <c r="AL8" s="51">
        <f>IF(AK8&lt;$H$6,AK8+1,"")</f>
        <v>45928</v>
      </c>
      <c r="AM8" s="51">
        <f t="shared" si="1"/>
        <v>45929</v>
      </c>
      <c r="AN8" s="51">
        <f t="shared" si="1"/>
        <v>45930</v>
      </c>
      <c r="AO8" s="72" t="str">
        <f t="shared" si="1"/>
        <v/>
      </c>
      <c r="AP8" s="42"/>
      <c r="AQ8" s="42"/>
      <c r="AR8" s="27" t="s">
        <v>0</v>
      </c>
      <c r="AS8" s="27" t="s">
        <v>23</v>
      </c>
      <c r="AT8" s="27" t="s">
        <v>39</v>
      </c>
      <c r="AU8" s="39" t="s">
        <v>24</v>
      </c>
      <c r="AV8" s="40" t="s">
        <v>30</v>
      </c>
      <c r="AW8" s="41" t="s">
        <v>31</v>
      </c>
      <c r="AX8" s="41" t="s">
        <v>32</v>
      </c>
      <c r="AY8" s="41" t="s">
        <v>33</v>
      </c>
      <c r="AZ8" s="41" t="s">
        <v>28</v>
      </c>
      <c r="BA8" s="41" t="s">
        <v>34</v>
      </c>
      <c r="BB8" s="41" t="s">
        <v>35</v>
      </c>
      <c r="BC8" s="41" t="s">
        <v>36</v>
      </c>
      <c r="BD8" s="41" t="s">
        <v>37</v>
      </c>
      <c r="BE8" s="41" t="s">
        <v>38</v>
      </c>
    </row>
    <row r="9" spans="4:59" ht="15.6" x14ac:dyDescent="0.3">
      <c r="D9" s="42"/>
      <c r="E9" s="42"/>
      <c r="F9" s="42"/>
      <c r="G9" s="59">
        <v>1</v>
      </c>
      <c r="H9" s="10">
        <v>1001</v>
      </c>
      <c r="I9" s="11" t="s">
        <v>3</v>
      </c>
      <c r="J9" s="52">
        <f>COUNTIF($K$7:$AO$7,"sun")</f>
        <v>4</v>
      </c>
      <c r="K9" s="53" t="s">
        <v>43</v>
      </c>
      <c r="L9" s="53" t="s">
        <v>43</v>
      </c>
      <c r="M9" s="53" t="s">
        <v>41</v>
      </c>
      <c r="N9" s="53" t="s">
        <v>43</v>
      </c>
      <c r="O9" s="53" t="s">
        <v>43</v>
      </c>
      <c r="P9" s="53" t="s">
        <v>43</v>
      </c>
      <c r="Q9" s="53" t="str">
        <f t="shared" ref="Q9:AL17" si="2">IF(Q$7="sun","WO","")</f>
        <v>WO</v>
      </c>
      <c r="R9" s="53" t="s">
        <v>43</v>
      </c>
      <c r="S9" s="53" t="s">
        <v>43</v>
      </c>
      <c r="T9" s="53" t="s">
        <v>43</v>
      </c>
      <c r="U9" s="53" t="s">
        <v>43</v>
      </c>
      <c r="V9" s="53" t="s">
        <v>43</v>
      </c>
      <c r="W9" s="53" t="s">
        <v>43</v>
      </c>
      <c r="X9" s="53" t="str">
        <f t="shared" si="2"/>
        <v>WO</v>
      </c>
      <c r="Y9" s="53" t="s">
        <v>43</v>
      </c>
      <c r="Z9" s="53" t="s">
        <v>43</v>
      </c>
      <c r="AA9" s="53" t="s">
        <v>43</v>
      </c>
      <c r="AB9" s="53" t="s">
        <v>43</v>
      </c>
      <c r="AC9" s="53" t="s">
        <v>44</v>
      </c>
      <c r="AD9" s="53" t="s">
        <v>41</v>
      </c>
      <c r="AE9" s="53" t="str">
        <f t="shared" si="2"/>
        <v>WO</v>
      </c>
      <c r="AF9" s="53" t="s">
        <v>43</v>
      </c>
      <c r="AG9" s="53" t="s">
        <v>43</v>
      </c>
      <c r="AH9" s="53" t="s">
        <v>43</v>
      </c>
      <c r="AI9" s="53" t="s">
        <v>43</v>
      </c>
      <c r="AJ9" s="53" t="s">
        <v>43</v>
      </c>
      <c r="AK9" s="53" t="s">
        <v>43</v>
      </c>
      <c r="AL9" s="53" t="str">
        <f t="shared" si="2"/>
        <v>WO</v>
      </c>
      <c r="AM9" s="53" t="s">
        <v>43</v>
      </c>
      <c r="AN9" s="53" t="s">
        <v>43</v>
      </c>
      <c r="AO9" s="73"/>
      <c r="AP9" s="42"/>
      <c r="AQ9" s="42"/>
      <c r="AR9" s="3">
        <v>1</v>
      </c>
      <c r="AS9" s="3">
        <v>1001</v>
      </c>
      <c r="AT9" s="3" t="str">
        <f>$I$5</f>
        <v>September</v>
      </c>
      <c r="AU9" s="36" t="s">
        <v>3</v>
      </c>
      <c r="AV9" s="30">
        <f>COUNTIF($K9:$AO9,"P")</f>
        <v>23</v>
      </c>
      <c r="AW9" s="30">
        <f>COUNTIF($K9:$AO9,"A")</f>
        <v>1</v>
      </c>
      <c r="AX9" s="30">
        <f>COUNTIF($K9:$AO9,"L")</f>
        <v>2</v>
      </c>
      <c r="AY9" s="30">
        <f>$J$9</f>
        <v>4</v>
      </c>
      <c r="AZ9" s="30">
        <f>$I$4</f>
        <v>30</v>
      </c>
      <c r="BA9" s="30">
        <f>AZ9-AW9</f>
        <v>29</v>
      </c>
      <c r="BB9" s="31">
        <v>25000</v>
      </c>
      <c r="BC9" s="32">
        <f>BB9/AZ9</f>
        <v>833.33333333333337</v>
      </c>
      <c r="BD9" s="31">
        <f>BC9*AW9</f>
        <v>833.33333333333337</v>
      </c>
      <c r="BE9" s="31">
        <f>BB9-BD9</f>
        <v>24166.666666666668</v>
      </c>
    </row>
    <row r="10" spans="4:59" ht="15.6" x14ac:dyDescent="0.3">
      <c r="D10" s="42"/>
      <c r="E10" s="42"/>
      <c r="F10" s="42"/>
      <c r="G10" s="59">
        <v>2</v>
      </c>
      <c r="H10" s="10">
        <v>1002</v>
      </c>
      <c r="I10" s="11" t="s">
        <v>4</v>
      </c>
      <c r="J10" s="54">
        <f t="shared" ref="J10:J28" si="3">COUNTIF($K$7:$AO$7,"sun")</f>
        <v>4</v>
      </c>
      <c r="K10" s="3" t="s">
        <v>43</v>
      </c>
      <c r="L10" s="3" t="s">
        <v>43</v>
      </c>
      <c r="M10" s="53" t="s">
        <v>41</v>
      </c>
      <c r="N10" s="3" t="s">
        <v>44</v>
      </c>
      <c r="O10" s="3" t="s">
        <v>43</v>
      </c>
      <c r="P10" s="3" t="s">
        <v>43</v>
      </c>
      <c r="Q10" s="3" t="str">
        <f t="shared" si="2"/>
        <v>WO</v>
      </c>
      <c r="R10" s="3" t="s">
        <v>43</v>
      </c>
      <c r="S10" s="3" t="s">
        <v>44</v>
      </c>
      <c r="T10" s="3" t="s">
        <v>43</v>
      </c>
      <c r="U10" s="3" t="s">
        <v>43</v>
      </c>
      <c r="V10" s="3" t="s">
        <v>43</v>
      </c>
      <c r="W10" s="3" t="s">
        <v>44</v>
      </c>
      <c r="X10" s="3" t="str">
        <f t="shared" si="2"/>
        <v>WO</v>
      </c>
      <c r="Y10" s="3" t="s">
        <v>44</v>
      </c>
      <c r="Z10" s="3" t="s">
        <v>43</v>
      </c>
      <c r="AA10" s="3" t="s">
        <v>43</v>
      </c>
      <c r="AB10" s="3" t="s">
        <v>43</v>
      </c>
      <c r="AC10" s="3" t="s">
        <v>43</v>
      </c>
      <c r="AD10" s="53" t="s">
        <v>41</v>
      </c>
      <c r="AE10" s="3" t="str">
        <f t="shared" si="2"/>
        <v>WO</v>
      </c>
      <c r="AF10" s="3" t="s">
        <v>43</v>
      </c>
      <c r="AG10" s="3" t="s">
        <v>43</v>
      </c>
      <c r="AH10" s="3" t="s">
        <v>43</v>
      </c>
      <c r="AI10" s="3" t="s">
        <v>43</v>
      </c>
      <c r="AJ10" s="3" t="s">
        <v>43</v>
      </c>
      <c r="AK10" s="3" t="s">
        <v>44</v>
      </c>
      <c r="AL10" s="3" t="str">
        <f t="shared" si="2"/>
        <v>WO</v>
      </c>
      <c r="AM10" s="3" t="s">
        <v>43</v>
      </c>
      <c r="AN10" s="3" t="s">
        <v>43</v>
      </c>
      <c r="AO10" s="36"/>
      <c r="AP10" s="42"/>
      <c r="AQ10" s="42"/>
      <c r="AR10" s="3">
        <v>2</v>
      </c>
      <c r="AS10" s="3">
        <v>1002</v>
      </c>
      <c r="AT10" s="3" t="str">
        <f t="shared" ref="AT10:AT28" si="4">$I$5</f>
        <v>September</v>
      </c>
      <c r="AU10" s="36" t="s">
        <v>4</v>
      </c>
      <c r="AV10">
        <f t="shared" ref="AV10:AV28" si="5">COUNTIF($K10:$AO10,"P")</f>
        <v>19</v>
      </c>
      <c r="AW10">
        <f t="shared" ref="AW10:AW28" si="6">COUNTIF($K10:$AO10,"A")</f>
        <v>5</v>
      </c>
      <c r="AX10">
        <f t="shared" ref="AX10:AX28" si="7">COUNTIF($K10:$AO10,"L")</f>
        <v>2</v>
      </c>
      <c r="AY10">
        <f t="shared" ref="AY10:AY28" si="8">$J$9</f>
        <v>4</v>
      </c>
      <c r="AZ10">
        <f t="shared" ref="AZ10:AZ28" si="9">$I$4</f>
        <v>30</v>
      </c>
      <c r="BA10">
        <f t="shared" ref="BA10:BA28" si="10">AZ10-AW10</f>
        <v>25</v>
      </c>
      <c r="BB10" s="28">
        <v>24000</v>
      </c>
      <c r="BC10" s="29">
        <f t="shared" ref="BC10:BC28" si="11">BB10/AZ10</f>
        <v>800</v>
      </c>
      <c r="BD10" s="28">
        <f t="shared" ref="BD10:BD28" si="12">BC10*AW10</f>
        <v>4000</v>
      </c>
      <c r="BE10" s="28">
        <f t="shared" ref="BE10:BE28" si="13">BB10-BD10</f>
        <v>20000</v>
      </c>
    </row>
    <row r="11" spans="4:59" ht="15.6" x14ac:dyDescent="0.3">
      <c r="D11" s="42"/>
      <c r="E11" s="42"/>
      <c r="F11" s="42"/>
      <c r="G11" s="59">
        <v>3</v>
      </c>
      <c r="H11" s="10">
        <v>1003</v>
      </c>
      <c r="I11" s="11" t="s">
        <v>5</v>
      </c>
      <c r="J11" s="54">
        <f t="shared" si="3"/>
        <v>4</v>
      </c>
      <c r="K11" s="3" t="s">
        <v>43</v>
      </c>
      <c r="L11" s="3" t="s">
        <v>43</v>
      </c>
      <c r="M11" s="53" t="s">
        <v>41</v>
      </c>
      <c r="N11" s="3" t="s">
        <v>43</v>
      </c>
      <c r="O11" s="3" t="s">
        <v>43</v>
      </c>
      <c r="P11" s="3" t="s">
        <v>43</v>
      </c>
      <c r="Q11" s="3" t="str">
        <f t="shared" si="2"/>
        <v>WO</v>
      </c>
      <c r="R11" s="3" t="s">
        <v>43</v>
      </c>
      <c r="S11" s="3" t="s">
        <v>43</v>
      </c>
      <c r="T11" s="3" t="s">
        <v>43</v>
      </c>
      <c r="U11" s="3" t="s">
        <v>43</v>
      </c>
      <c r="V11" s="3" t="s">
        <v>43</v>
      </c>
      <c r="W11" s="3" t="s">
        <v>43</v>
      </c>
      <c r="X11" s="3" t="str">
        <f t="shared" si="2"/>
        <v>WO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53" t="s">
        <v>41</v>
      </c>
      <c r="AE11" s="3" t="str">
        <f t="shared" si="2"/>
        <v>WO</v>
      </c>
      <c r="AF11" s="3" t="s">
        <v>43</v>
      </c>
      <c r="AG11" s="3" t="s">
        <v>43</v>
      </c>
      <c r="AH11" s="3" t="s">
        <v>43</v>
      </c>
      <c r="AI11" s="3" t="s">
        <v>43</v>
      </c>
      <c r="AJ11" s="3" t="s">
        <v>43</v>
      </c>
      <c r="AK11" s="3" t="s">
        <v>43</v>
      </c>
      <c r="AL11" s="3" t="str">
        <f t="shared" si="2"/>
        <v>WO</v>
      </c>
      <c r="AM11" s="3" t="s">
        <v>44</v>
      </c>
      <c r="AN11" s="3" t="s">
        <v>43</v>
      </c>
      <c r="AO11" s="36"/>
      <c r="AP11" s="42"/>
      <c r="AQ11" s="42"/>
      <c r="AR11" s="3">
        <v>3</v>
      </c>
      <c r="AS11" s="3">
        <v>1003</v>
      </c>
      <c r="AT11" s="3" t="str">
        <f t="shared" si="4"/>
        <v>September</v>
      </c>
      <c r="AU11" s="36" t="s">
        <v>5</v>
      </c>
      <c r="AV11">
        <f t="shared" si="5"/>
        <v>23</v>
      </c>
      <c r="AW11">
        <f t="shared" si="6"/>
        <v>1</v>
      </c>
      <c r="AX11">
        <f t="shared" si="7"/>
        <v>2</v>
      </c>
      <c r="AY11">
        <f t="shared" si="8"/>
        <v>4</v>
      </c>
      <c r="AZ11">
        <f t="shared" si="9"/>
        <v>30</v>
      </c>
      <c r="BA11">
        <f t="shared" si="10"/>
        <v>29</v>
      </c>
      <c r="BB11" s="28">
        <v>23000</v>
      </c>
      <c r="BC11" s="29">
        <f t="shared" si="11"/>
        <v>766.66666666666663</v>
      </c>
      <c r="BD11" s="28">
        <f t="shared" si="12"/>
        <v>766.66666666666663</v>
      </c>
      <c r="BE11" s="28">
        <f t="shared" si="13"/>
        <v>22233.333333333332</v>
      </c>
    </row>
    <row r="12" spans="4:59" ht="15.6" x14ac:dyDescent="0.3">
      <c r="D12" s="42"/>
      <c r="E12" s="42"/>
      <c r="F12" s="42"/>
      <c r="G12" s="59">
        <v>4</v>
      </c>
      <c r="H12" s="10">
        <v>1004</v>
      </c>
      <c r="I12" s="11" t="s">
        <v>6</v>
      </c>
      <c r="J12" s="54">
        <f t="shared" si="3"/>
        <v>4</v>
      </c>
      <c r="K12" s="3" t="s">
        <v>43</v>
      </c>
      <c r="L12" s="3" t="s">
        <v>43</v>
      </c>
      <c r="M12" s="53" t="s">
        <v>41</v>
      </c>
      <c r="N12" s="3" t="s">
        <v>43</v>
      </c>
      <c r="O12" s="3" t="s">
        <v>43</v>
      </c>
      <c r="P12" s="3" t="s">
        <v>44</v>
      </c>
      <c r="Q12" s="3" t="str">
        <f t="shared" si="2"/>
        <v>WO</v>
      </c>
      <c r="R12" s="3" t="s">
        <v>43</v>
      </c>
      <c r="S12" s="3" t="s">
        <v>43</v>
      </c>
      <c r="T12" s="3" t="s">
        <v>43</v>
      </c>
      <c r="U12" s="3" t="s">
        <v>43</v>
      </c>
      <c r="V12" s="3" t="s">
        <v>43</v>
      </c>
      <c r="W12" s="3" t="s">
        <v>43</v>
      </c>
      <c r="X12" s="3" t="str">
        <f t="shared" si="2"/>
        <v>WO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53" t="s">
        <v>41</v>
      </c>
      <c r="AE12" s="3" t="str">
        <f t="shared" si="2"/>
        <v>WO</v>
      </c>
      <c r="AF12" s="3" t="s">
        <v>43</v>
      </c>
      <c r="AG12" s="3" t="s">
        <v>44</v>
      </c>
      <c r="AH12" s="3" t="s">
        <v>43</v>
      </c>
      <c r="AI12" s="3" t="s">
        <v>43</v>
      </c>
      <c r="AJ12" s="3" t="s">
        <v>43</v>
      </c>
      <c r="AK12" s="3" t="s">
        <v>43</v>
      </c>
      <c r="AL12" s="3" t="str">
        <f t="shared" si="2"/>
        <v>WO</v>
      </c>
      <c r="AM12" s="3" t="s">
        <v>43</v>
      </c>
      <c r="AN12" s="3" t="s">
        <v>43</v>
      </c>
      <c r="AO12" s="36"/>
      <c r="AP12" s="42"/>
      <c r="AQ12" s="42"/>
      <c r="AR12" s="3">
        <v>4</v>
      </c>
      <c r="AS12" s="3">
        <v>1004</v>
      </c>
      <c r="AT12" s="3" t="str">
        <f t="shared" si="4"/>
        <v>September</v>
      </c>
      <c r="AU12" s="36" t="s">
        <v>6</v>
      </c>
      <c r="AV12">
        <f t="shared" si="5"/>
        <v>22</v>
      </c>
      <c r="AW12">
        <f t="shared" si="6"/>
        <v>2</v>
      </c>
      <c r="AX12">
        <f t="shared" si="7"/>
        <v>2</v>
      </c>
      <c r="AY12">
        <f t="shared" si="8"/>
        <v>4</v>
      </c>
      <c r="AZ12">
        <f t="shared" si="9"/>
        <v>30</v>
      </c>
      <c r="BA12">
        <f t="shared" si="10"/>
        <v>28</v>
      </c>
      <c r="BB12" s="28">
        <v>25000</v>
      </c>
      <c r="BC12" s="29">
        <f t="shared" si="11"/>
        <v>833.33333333333337</v>
      </c>
      <c r="BD12" s="28">
        <f t="shared" si="12"/>
        <v>1666.6666666666667</v>
      </c>
      <c r="BE12" s="28">
        <f t="shared" si="13"/>
        <v>23333.333333333332</v>
      </c>
    </row>
    <row r="13" spans="4:59" ht="15.6" x14ac:dyDescent="0.3">
      <c r="D13" s="42"/>
      <c r="E13" s="42"/>
      <c r="F13" s="42"/>
      <c r="G13" s="59">
        <v>5</v>
      </c>
      <c r="H13" s="10">
        <v>1005</v>
      </c>
      <c r="I13" s="11" t="s">
        <v>7</v>
      </c>
      <c r="J13" s="54">
        <f t="shared" si="3"/>
        <v>4</v>
      </c>
      <c r="K13" s="3" t="s">
        <v>43</v>
      </c>
      <c r="L13" s="3" t="s">
        <v>43</v>
      </c>
      <c r="M13" s="53" t="s">
        <v>41</v>
      </c>
      <c r="N13" s="3" t="s">
        <v>43</v>
      </c>
      <c r="O13" s="3" t="s">
        <v>43</v>
      </c>
      <c r="P13" s="3" t="s">
        <v>43</v>
      </c>
      <c r="Q13" s="3" t="str">
        <f t="shared" si="2"/>
        <v>WO</v>
      </c>
      <c r="R13" s="3" t="s">
        <v>43</v>
      </c>
      <c r="S13" s="3" t="s">
        <v>43</v>
      </c>
      <c r="T13" s="3" t="s">
        <v>43</v>
      </c>
      <c r="U13" s="3" t="s">
        <v>43</v>
      </c>
      <c r="V13" s="3" t="s">
        <v>43</v>
      </c>
      <c r="W13" s="3" t="s">
        <v>43</v>
      </c>
      <c r="X13" s="3" t="str">
        <f t="shared" si="2"/>
        <v>WO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53" t="s">
        <v>41</v>
      </c>
      <c r="AE13" s="3" t="str">
        <f t="shared" si="2"/>
        <v>WO</v>
      </c>
      <c r="AF13" s="3" t="s">
        <v>43</v>
      </c>
      <c r="AG13" s="3" t="s">
        <v>43</v>
      </c>
      <c r="AH13" s="3" t="s">
        <v>43</v>
      </c>
      <c r="AI13" s="3" t="s">
        <v>43</v>
      </c>
      <c r="AJ13" s="3" t="s">
        <v>43</v>
      </c>
      <c r="AK13" s="3" t="s">
        <v>43</v>
      </c>
      <c r="AL13" s="3" t="str">
        <f t="shared" si="2"/>
        <v>WO</v>
      </c>
      <c r="AM13" s="3" t="s">
        <v>43</v>
      </c>
      <c r="AN13" s="3" t="s">
        <v>43</v>
      </c>
      <c r="AO13" s="36"/>
      <c r="AP13" s="42"/>
      <c r="AQ13" s="42"/>
      <c r="AR13" s="3">
        <v>5</v>
      </c>
      <c r="AS13" s="3">
        <v>1005</v>
      </c>
      <c r="AT13" s="3" t="str">
        <f t="shared" si="4"/>
        <v>September</v>
      </c>
      <c r="AU13" s="36" t="s">
        <v>7</v>
      </c>
      <c r="AV13">
        <f t="shared" si="5"/>
        <v>24</v>
      </c>
      <c r="AW13">
        <f t="shared" si="6"/>
        <v>0</v>
      </c>
      <c r="AX13">
        <f t="shared" si="7"/>
        <v>2</v>
      </c>
      <c r="AY13">
        <f t="shared" si="8"/>
        <v>4</v>
      </c>
      <c r="AZ13">
        <f t="shared" si="9"/>
        <v>30</v>
      </c>
      <c r="BA13">
        <f t="shared" si="10"/>
        <v>30</v>
      </c>
      <c r="BB13" s="28">
        <v>26000</v>
      </c>
      <c r="BC13" s="29">
        <f t="shared" si="11"/>
        <v>866.66666666666663</v>
      </c>
      <c r="BD13" s="28">
        <f t="shared" si="12"/>
        <v>0</v>
      </c>
      <c r="BE13" s="28">
        <f t="shared" si="13"/>
        <v>26000</v>
      </c>
    </row>
    <row r="14" spans="4:59" ht="15.6" x14ac:dyDescent="0.3">
      <c r="D14" s="42"/>
      <c r="E14" s="42"/>
      <c r="F14" s="42"/>
      <c r="G14" s="59">
        <v>6</v>
      </c>
      <c r="H14" s="10">
        <v>1006</v>
      </c>
      <c r="I14" s="11" t="s">
        <v>8</v>
      </c>
      <c r="J14" s="54">
        <f t="shared" si="3"/>
        <v>4</v>
      </c>
      <c r="K14" s="3" t="s">
        <v>43</v>
      </c>
      <c r="L14" s="3" t="s">
        <v>43</v>
      </c>
      <c r="M14" s="53" t="s">
        <v>41</v>
      </c>
      <c r="N14" s="3" t="s">
        <v>43</v>
      </c>
      <c r="O14" s="3" t="s">
        <v>43</v>
      </c>
      <c r="P14" s="3" t="s">
        <v>43</v>
      </c>
      <c r="Q14" s="3" t="str">
        <f t="shared" si="2"/>
        <v>WO</v>
      </c>
      <c r="R14" s="3" t="s">
        <v>43</v>
      </c>
      <c r="S14" s="3" t="s">
        <v>43</v>
      </c>
      <c r="T14" s="3" t="s">
        <v>43</v>
      </c>
      <c r="U14" s="3" t="s">
        <v>44</v>
      </c>
      <c r="V14" s="3" t="s">
        <v>43</v>
      </c>
      <c r="W14" s="3" t="s">
        <v>43</v>
      </c>
      <c r="X14" s="3" t="str">
        <f t="shared" si="2"/>
        <v>WO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53" t="s">
        <v>41</v>
      </c>
      <c r="AE14" s="3" t="str">
        <f t="shared" si="2"/>
        <v>WO</v>
      </c>
      <c r="AF14" s="3" t="s">
        <v>43</v>
      </c>
      <c r="AG14" s="3" t="s">
        <v>43</v>
      </c>
      <c r="AH14" s="3" t="s">
        <v>43</v>
      </c>
      <c r="AI14" s="3" t="s">
        <v>43</v>
      </c>
      <c r="AJ14" s="3" t="s">
        <v>43</v>
      </c>
      <c r="AK14" s="3" t="s">
        <v>43</v>
      </c>
      <c r="AL14" s="3" t="str">
        <f t="shared" si="2"/>
        <v>WO</v>
      </c>
      <c r="AM14" s="3" t="s">
        <v>43</v>
      </c>
      <c r="AN14" s="3" t="s">
        <v>43</v>
      </c>
      <c r="AO14" s="36"/>
      <c r="AP14" s="42"/>
      <c r="AQ14" s="42"/>
      <c r="AR14" s="3">
        <v>6</v>
      </c>
      <c r="AS14" s="3">
        <v>1006</v>
      </c>
      <c r="AT14" s="3" t="str">
        <f t="shared" si="4"/>
        <v>September</v>
      </c>
      <c r="AU14" s="36" t="s">
        <v>8</v>
      </c>
      <c r="AV14">
        <f t="shared" si="5"/>
        <v>23</v>
      </c>
      <c r="AW14">
        <f t="shared" si="6"/>
        <v>1</v>
      </c>
      <c r="AX14">
        <f t="shared" si="7"/>
        <v>2</v>
      </c>
      <c r="AY14">
        <f t="shared" si="8"/>
        <v>4</v>
      </c>
      <c r="AZ14">
        <f t="shared" si="9"/>
        <v>30</v>
      </c>
      <c r="BA14">
        <f t="shared" si="10"/>
        <v>29</v>
      </c>
      <c r="BB14" s="28">
        <v>31000</v>
      </c>
      <c r="BC14" s="29">
        <f t="shared" si="11"/>
        <v>1033.3333333333333</v>
      </c>
      <c r="BD14" s="28">
        <f t="shared" si="12"/>
        <v>1033.3333333333333</v>
      </c>
      <c r="BE14" s="28">
        <f t="shared" si="13"/>
        <v>29966.666666666668</v>
      </c>
    </row>
    <row r="15" spans="4:59" ht="15.6" x14ac:dyDescent="0.3">
      <c r="D15" s="42"/>
      <c r="E15" s="42"/>
      <c r="F15" s="42"/>
      <c r="G15" s="59">
        <v>7</v>
      </c>
      <c r="H15" s="10">
        <v>1007</v>
      </c>
      <c r="I15" s="11" t="s">
        <v>9</v>
      </c>
      <c r="J15" s="54">
        <f t="shared" si="3"/>
        <v>4</v>
      </c>
      <c r="K15" s="3" t="s">
        <v>43</v>
      </c>
      <c r="L15" s="3" t="s">
        <v>43</v>
      </c>
      <c r="M15" s="53" t="s">
        <v>41</v>
      </c>
      <c r="N15" s="3" t="s">
        <v>43</v>
      </c>
      <c r="O15" s="3" t="s">
        <v>43</v>
      </c>
      <c r="P15" s="3" t="s">
        <v>43</v>
      </c>
      <c r="Q15" s="3" t="str">
        <f t="shared" si="2"/>
        <v>WO</v>
      </c>
      <c r="R15" s="3" t="s">
        <v>43</v>
      </c>
      <c r="S15" s="3" t="s">
        <v>43</v>
      </c>
      <c r="T15" s="3" t="s">
        <v>43</v>
      </c>
      <c r="U15" s="3" t="s">
        <v>43</v>
      </c>
      <c r="V15" s="3" t="s">
        <v>43</v>
      </c>
      <c r="W15" s="3" t="s">
        <v>43</v>
      </c>
      <c r="X15" s="3" t="str">
        <f t="shared" si="2"/>
        <v>WO</v>
      </c>
      <c r="Y15" s="3" t="s">
        <v>43</v>
      </c>
      <c r="Z15" s="3" t="s">
        <v>43</v>
      </c>
      <c r="AA15" s="3" t="s">
        <v>44</v>
      </c>
      <c r="AB15" s="3" t="s">
        <v>43</v>
      </c>
      <c r="AC15" s="3" t="s">
        <v>43</v>
      </c>
      <c r="AD15" s="53" t="s">
        <v>41</v>
      </c>
      <c r="AE15" s="3" t="str">
        <f t="shared" si="2"/>
        <v>WO</v>
      </c>
      <c r="AF15" s="3" t="s">
        <v>43</v>
      </c>
      <c r="AG15" s="3" t="s">
        <v>43</v>
      </c>
      <c r="AH15" s="3" t="s">
        <v>43</v>
      </c>
      <c r="AI15" s="3" t="s">
        <v>43</v>
      </c>
      <c r="AJ15" s="3" t="s">
        <v>43</v>
      </c>
      <c r="AK15" s="3" t="s">
        <v>43</v>
      </c>
      <c r="AL15" s="3" t="str">
        <f t="shared" si="2"/>
        <v>WO</v>
      </c>
      <c r="AM15" s="3" t="s">
        <v>43</v>
      </c>
      <c r="AN15" s="3" t="s">
        <v>43</v>
      </c>
      <c r="AO15" s="36"/>
      <c r="AP15" s="42"/>
      <c r="AQ15" s="42"/>
      <c r="AR15" s="3">
        <v>7</v>
      </c>
      <c r="AS15" s="3">
        <v>1007</v>
      </c>
      <c r="AT15" s="3" t="str">
        <f t="shared" si="4"/>
        <v>September</v>
      </c>
      <c r="AU15" s="36" t="s">
        <v>9</v>
      </c>
      <c r="AV15">
        <f t="shared" si="5"/>
        <v>23</v>
      </c>
      <c r="AW15">
        <f t="shared" si="6"/>
        <v>1</v>
      </c>
      <c r="AX15">
        <f t="shared" si="7"/>
        <v>2</v>
      </c>
      <c r="AY15">
        <f t="shared" si="8"/>
        <v>4</v>
      </c>
      <c r="AZ15">
        <f t="shared" si="9"/>
        <v>30</v>
      </c>
      <c r="BA15">
        <f t="shared" si="10"/>
        <v>29</v>
      </c>
      <c r="BB15" s="28">
        <v>28000</v>
      </c>
      <c r="BC15" s="29">
        <f t="shared" si="11"/>
        <v>933.33333333333337</v>
      </c>
      <c r="BD15" s="28">
        <f t="shared" si="12"/>
        <v>933.33333333333337</v>
      </c>
      <c r="BE15" s="28">
        <f t="shared" si="13"/>
        <v>27066.666666666668</v>
      </c>
    </row>
    <row r="16" spans="4:59" ht="15.6" x14ac:dyDescent="0.3">
      <c r="D16" s="42"/>
      <c r="E16" s="42"/>
      <c r="F16" s="42"/>
      <c r="G16" s="59">
        <v>8</v>
      </c>
      <c r="H16" s="10">
        <v>1008</v>
      </c>
      <c r="I16" s="11" t="s">
        <v>10</v>
      </c>
      <c r="J16" s="54">
        <f t="shared" si="3"/>
        <v>4</v>
      </c>
      <c r="K16" s="3" t="s">
        <v>43</v>
      </c>
      <c r="L16" s="3" t="s">
        <v>43</v>
      </c>
      <c r="M16" s="53" t="s">
        <v>41</v>
      </c>
      <c r="N16" s="3" t="s">
        <v>43</v>
      </c>
      <c r="O16" s="3" t="s">
        <v>43</v>
      </c>
      <c r="P16" s="3" t="s">
        <v>43</v>
      </c>
      <c r="Q16" s="3" t="str">
        <f t="shared" si="2"/>
        <v>WO</v>
      </c>
      <c r="R16" s="3" t="s">
        <v>44</v>
      </c>
      <c r="S16" s="3" t="s">
        <v>43</v>
      </c>
      <c r="T16" s="3" t="s">
        <v>43</v>
      </c>
      <c r="U16" s="3" t="s">
        <v>43</v>
      </c>
      <c r="V16" s="3" t="s">
        <v>43</v>
      </c>
      <c r="W16" s="3" t="s">
        <v>43</v>
      </c>
      <c r="X16" s="3" t="str">
        <f t="shared" si="2"/>
        <v>WO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53" t="s">
        <v>41</v>
      </c>
      <c r="AE16" s="3" t="str">
        <f t="shared" si="2"/>
        <v>WO</v>
      </c>
      <c r="AF16" s="3" t="s">
        <v>43</v>
      </c>
      <c r="AG16" s="3" t="s">
        <v>43</v>
      </c>
      <c r="AH16" s="3" t="s">
        <v>44</v>
      </c>
      <c r="AI16" s="3" t="s">
        <v>43</v>
      </c>
      <c r="AJ16" s="3" t="s">
        <v>43</v>
      </c>
      <c r="AK16" s="3" t="s">
        <v>43</v>
      </c>
      <c r="AL16" s="3" t="str">
        <f t="shared" si="2"/>
        <v>WO</v>
      </c>
      <c r="AM16" s="3" t="s">
        <v>43</v>
      </c>
      <c r="AN16" s="3" t="s">
        <v>43</v>
      </c>
      <c r="AO16" s="36"/>
      <c r="AP16" s="42"/>
      <c r="AQ16" s="42"/>
      <c r="AR16" s="3">
        <v>8</v>
      </c>
      <c r="AS16" s="3">
        <v>1008</v>
      </c>
      <c r="AT16" s="3" t="str">
        <f t="shared" si="4"/>
        <v>September</v>
      </c>
      <c r="AU16" s="36" t="s">
        <v>10</v>
      </c>
      <c r="AV16">
        <f t="shared" si="5"/>
        <v>22</v>
      </c>
      <c r="AW16">
        <f t="shared" si="6"/>
        <v>2</v>
      </c>
      <c r="AX16">
        <f t="shared" si="7"/>
        <v>2</v>
      </c>
      <c r="AY16">
        <f t="shared" si="8"/>
        <v>4</v>
      </c>
      <c r="AZ16">
        <f t="shared" si="9"/>
        <v>30</v>
      </c>
      <c r="BA16">
        <f t="shared" si="10"/>
        <v>28</v>
      </c>
      <c r="BB16" s="28">
        <v>29000</v>
      </c>
      <c r="BC16" s="29">
        <f t="shared" si="11"/>
        <v>966.66666666666663</v>
      </c>
      <c r="BD16" s="28">
        <f t="shared" si="12"/>
        <v>1933.3333333333333</v>
      </c>
      <c r="BE16" s="28">
        <f t="shared" si="13"/>
        <v>27066.666666666668</v>
      </c>
    </row>
    <row r="17" spans="4:59" ht="15.6" x14ac:dyDescent="0.3">
      <c r="D17" s="42"/>
      <c r="E17" s="42"/>
      <c r="F17" s="42"/>
      <c r="G17" s="59">
        <v>9</v>
      </c>
      <c r="H17" s="10">
        <v>1009</v>
      </c>
      <c r="I17" s="11" t="s">
        <v>11</v>
      </c>
      <c r="J17" s="54">
        <f t="shared" si="3"/>
        <v>4</v>
      </c>
      <c r="K17" s="3" t="s">
        <v>43</v>
      </c>
      <c r="L17" s="3" t="s">
        <v>43</v>
      </c>
      <c r="M17" s="53" t="s">
        <v>41</v>
      </c>
      <c r="N17" s="3" t="s">
        <v>43</v>
      </c>
      <c r="O17" s="3" t="s">
        <v>44</v>
      </c>
      <c r="P17" s="3" t="s">
        <v>43</v>
      </c>
      <c r="Q17" s="3" t="str">
        <f t="shared" si="2"/>
        <v>WO</v>
      </c>
      <c r="R17" s="3" t="s">
        <v>43</v>
      </c>
      <c r="S17" s="3" t="s">
        <v>43</v>
      </c>
      <c r="T17" s="3" t="s">
        <v>43</v>
      </c>
      <c r="U17" s="3" t="s">
        <v>43</v>
      </c>
      <c r="V17" s="3" t="s">
        <v>43</v>
      </c>
      <c r="W17" s="3" t="s">
        <v>43</v>
      </c>
      <c r="X17" s="3" t="str">
        <f t="shared" si="2"/>
        <v>WO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53" t="s">
        <v>41</v>
      </c>
      <c r="AE17" s="3" t="str">
        <f t="shared" ref="AE17:AL28" si="14">IF(AE$7="sun","WO","")</f>
        <v>WO</v>
      </c>
      <c r="AF17" s="3" t="s">
        <v>43</v>
      </c>
      <c r="AG17" s="3" t="s">
        <v>43</v>
      </c>
      <c r="AH17" s="3" t="s">
        <v>43</v>
      </c>
      <c r="AI17" s="3" t="s">
        <v>43</v>
      </c>
      <c r="AJ17" s="3" t="s">
        <v>43</v>
      </c>
      <c r="AK17" s="3" t="s">
        <v>43</v>
      </c>
      <c r="AL17" s="3" t="str">
        <f t="shared" si="14"/>
        <v>WO</v>
      </c>
      <c r="AM17" s="3" t="s">
        <v>43</v>
      </c>
      <c r="AN17" s="3" t="s">
        <v>43</v>
      </c>
      <c r="AO17" s="36"/>
      <c r="AP17" s="42"/>
      <c r="AQ17" s="42"/>
      <c r="AR17" s="3">
        <v>9</v>
      </c>
      <c r="AS17" s="3">
        <v>1009</v>
      </c>
      <c r="AT17" s="3" t="str">
        <f t="shared" si="4"/>
        <v>September</v>
      </c>
      <c r="AU17" s="36" t="s">
        <v>11</v>
      </c>
      <c r="AV17">
        <f t="shared" si="5"/>
        <v>23</v>
      </c>
      <c r="AW17">
        <f t="shared" si="6"/>
        <v>1</v>
      </c>
      <c r="AX17">
        <f t="shared" si="7"/>
        <v>2</v>
      </c>
      <c r="AY17">
        <f t="shared" si="8"/>
        <v>4</v>
      </c>
      <c r="AZ17">
        <f t="shared" si="9"/>
        <v>30</v>
      </c>
      <c r="BA17">
        <f t="shared" si="10"/>
        <v>29</v>
      </c>
      <c r="BB17" s="28">
        <v>32000</v>
      </c>
      <c r="BC17" s="29">
        <f t="shared" si="11"/>
        <v>1066.6666666666667</v>
      </c>
      <c r="BD17" s="28">
        <f t="shared" si="12"/>
        <v>1066.6666666666667</v>
      </c>
      <c r="BE17" s="28">
        <f t="shared" si="13"/>
        <v>30933.333333333332</v>
      </c>
    </row>
    <row r="18" spans="4:59" ht="15.6" x14ac:dyDescent="0.3">
      <c r="D18" s="42"/>
      <c r="E18" s="42"/>
      <c r="F18" s="42"/>
      <c r="G18" s="59">
        <v>10</v>
      </c>
      <c r="H18" s="10">
        <v>1010</v>
      </c>
      <c r="I18" s="11" t="s">
        <v>12</v>
      </c>
      <c r="J18" s="54">
        <f t="shared" si="3"/>
        <v>4</v>
      </c>
      <c r="K18" s="3" t="s">
        <v>43</v>
      </c>
      <c r="L18" s="3" t="s">
        <v>43</v>
      </c>
      <c r="M18" s="53" t="s">
        <v>41</v>
      </c>
      <c r="N18" s="3" t="s">
        <v>43</v>
      </c>
      <c r="O18" s="3" t="s">
        <v>43</v>
      </c>
      <c r="P18" s="3" t="s">
        <v>43</v>
      </c>
      <c r="Q18" s="3" t="str">
        <f t="shared" ref="Q18:X28" si="15">IF(Q$7="sun","WO","")</f>
        <v>WO</v>
      </c>
      <c r="R18" s="3" t="s">
        <v>43</v>
      </c>
      <c r="S18" s="3" t="s">
        <v>43</v>
      </c>
      <c r="T18" s="3" t="s">
        <v>43</v>
      </c>
      <c r="U18" s="3" t="s">
        <v>43</v>
      </c>
      <c r="V18" s="3" t="s">
        <v>43</v>
      </c>
      <c r="W18" s="3" t="s">
        <v>43</v>
      </c>
      <c r="X18" s="3" t="str">
        <f t="shared" si="15"/>
        <v>WO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53" t="s">
        <v>41</v>
      </c>
      <c r="AE18" s="3" t="str">
        <f t="shared" si="14"/>
        <v>WO</v>
      </c>
      <c r="AF18" s="3" t="s">
        <v>44</v>
      </c>
      <c r="AG18" s="3" t="s">
        <v>43</v>
      </c>
      <c r="AH18" s="3" t="s">
        <v>43</v>
      </c>
      <c r="AI18" s="3" t="s">
        <v>43</v>
      </c>
      <c r="AJ18" s="3" t="s">
        <v>43</v>
      </c>
      <c r="AK18" s="3" t="s">
        <v>43</v>
      </c>
      <c r="AL18" s="3" t="str">
        <f t="shared" si="14"/>
        <v>WO</v>
      </c>
      <c r="AM18" s="3" t="s">
        <v>43</v>
      </c>
      <c r="AN18" s="3" t="s">
        <v>43</v>
      </c>
      <c r="AO18" s="36"/>
      <c r="AP18" s="42"/>
      <c r="AQ18" s="42"/>
      <c r="AR18" s="3">
        <v>10</v>
      </c>
      <c r="AS18" s="3">
        <v>1010</v>
      </c>
      <c r="AT18" s="3" t="str">
        <f t="shared" si="4"/>
        <v>September</v>
      </c>
      <c r="AU18" s="36" t="s">
        <v>12</v>
      </c>
      <c r="AV18">
        <f t="shared" si="5"/>
        <v>23</v>
      </c>
      <c r="AW18">
        <f t="shared" si="6"/>
        <v>1</v>
      </c>
      <c r="AX18">
        <f t="shared" si="7"/>
        <v>2</v>
      </c>
      <c r="AY18">
        <f t="shared" si="8"/>
        <v>4</v>
      </c>
      <c r="AZ18">
        <f t="shared" si="9"/>
        <v>30</v>
      </c>
      <c r="BA18">
        <f t="shared" si="10"/>
        <v>29</v>
      </c>
      <c r="BB18" s="28">
        <v>35000</v>
      </c>
      <c r="BC18" s="29">
        <f t="shared" si="11"/>
        <v>1166.6666666666667</v>
      </c>
      <c r="BD18" s="28">
        <f t="shared" si="12"/>
        <v>1166.6666666666667</v>
      </c>
      <c r="BE18" s="28">
        <f t="shared" si="13"/>
        <v>33833.333333333336</v>
      </c>
    </row>
    <row r="19" spans="4:59" ht="15.6" x14ac:dyDescent="0.3">
      <c r="D19" s="42"/>
      <c r="E19" s="42"/>
      <c r="F19" s="42"/>
      <c r="G19" s="59">
        <v>11</v>
      </c>
      <c r="H19" s="10">
        <v>1011</v>
      </c>
      <c r="I19" s="11" t="s">
        <v>13</v>
      </c>
      <c r="J19" s="54">
        <f t="shared" si="3"/>
        <v>4</v>
      </c>
      <c r="K19" s="3" t="s">
        <v>43</v>
      </c>
      <c r="L19" s="3" t="s">
        <v>43</v>
      </c>
      <c r="M19" s="53" t="s">
        <v>41</v>
      </c>
      <c r="N19" s="3" t="s">
        <v>43</v>
      </c>
      <c r="O19" s="3" t="s">
        <v>43</v>
      </c>
      <c r="P19" s="3" t="s">
        <v>43</v>
      </c>
      <c r="Q19" s="3" t="str">
        <f t="shared" si="15"/>
        <v>WO</v>
      </c>
      <c r="R19" s="3" t="s">
        <v>43</v>
      </c>
      <c r="S19" s="3" t="s">
        <v>43</v>
      </c>
      <c r="T19" s="3" t="s">
        <v>43</v>
      </c>
      <c r="U19" s="3" t="s">
        <v>43</v>
      </c>
      <c r="V19" s="3" t="s">
        <v>43</v>
      </c>
      <c r="W19" s="3" t="s">
        <v>43</v>
      </c>
      <c r="X19" s="3" t="str">
        <f t="shared" si="15"/>
        <v>WO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53" t="s">
        <v>41</v>
      </c>
      <c r="AE19" s="3" t="str">
        <f t="shared" si="14"/>
        <v>WO</v>
      </c>
      <c r="AF19" s="3" t="s">
        <v>43</v>
      </c>
      <c r="AG19" s="3" t="s">
        <v>43</v>
      </c>
      <c r="AH19" s="3" t="s">
        <v>43</v>
      </c>
      <c r="AI19" s="3" t="s">
        <v>43</v>
      </c>
      <c r="AJ19" s="3" t="s">
        <v>43</v>
      </c>
      <c r="AK19" s="3" t="s">
        <v>43</v>
      </c>
      <c r="AL19" s="3" t="str">
        <f t="shared" si="14"/>
        <v>WO</v>
      </c>
      <c r="AM19" s="3" t="s">
        <v>43</v>
      </c>
      <c r="AN19" s="3" t="s">
        <v>43</v>
      </c>
      <c r="AO19" s="36"/>
      <c r="AP19" s="42"/>
      <c r="AQ19" s="42"/>
      <c r="AR19" s="3">
        <v>11</v>
      </c>
      <c r="AS19" s="3">
        <v>1011</v>
      </c>
      <c r="AT19" s="3" t="str">
        <f t="shared" si="4"/>
        <v>September</v>
      </c>
      <c r="AU19" s="36" t="s">
        <v>13</v>
      </c>
      <c r="AV19">
        <f t="shared" si="5"/>
        <v>24</v>
      </c>
      <c r="AW19">
        <f t="shared" si="6"/>
        <v>0</v>
      </c>
      <c r="AX19">
        <f t="shared" si="7"/>
        <v>2</v>
      </c>
      <c r="AY19">
        <f t="shared" si="8"/>
        <v>4</v>
      </c>
      <c r="AZ19">
        <f t="shared" si="9"/>
        <v>30</v>
      </c>
      <c r="BA19">
        <f t="shared" si="10"/>
        <v>30</v>
      </c>
      <c r="BB19" s="28">
        <v>50000</v>
      </c>
      <c r="BC19" s="29">
        <f t="shared" si="11"/>
        <v>1666.6666666666667</v>
      </c>
      <c r="BD19" s="28">
        <f t="shared" si="12"/>
        <v>0</v>
      </c>
      <c r="BE19" s="28">
        <f t="shared" si="13"/>
        <v>50000</v>
      </c>
    </row>
    <row r="20" spans="4:59" ht="15.6" x14ac:dyDescent="0.3">
      <c r="D20" s="42"/>
      <c r="E20" s="42"/>
      <c r="F20" s="42"/>
      <c r="G20" s="59">
        <v>12</v>
      </c>
      <c r="H20" s="10">
        <v>1012</v>
      </c>
      <c r="I20" s="11" t="s">
        <v>14</v>
      </c>
      <c r="J20" s="54">
        <f t="shared" si="3"/>
        <v>4</v>
      </c>
      <c r="K20" s="3" t="s">
        <v>43</v>
      </c>
      <c r="L20" s="3" t="s">
        <v>43</v>
      </c>
      <c r="M20" s="53" t="s">
        <v>41</v>
      </c>
      <c r="N20" s="3" t="s">
        <v>43</v>
      </c>
      <c r="O20" s="3" t="s">
        <v>43</v>
      </c>
      <c r="P20" s="3" t="s">
        <v>43</v>
      </c>
      <c r="Q20" s="3" t="str">
        <f t="shared" si="15"/>
        <v>WO</v>
      </c>
      <c r="R20" s="3" t="s">
        <v>43</v>
      </c>
      <c r="S20" s="3" t="s">
        <v>43</v>
      </c>
      <c r="T20" s="3" t="s">
        <v>43</v>
      </c>
      <c r="U20" s="3" t="s">
        <v>43</v>
      </c>
      <c r="V20" s="3" t="s">
        <v>43</v>
      </c>
      <c r="W20" s="3" t="s">
        <v>44</v>
      </c>
      <c r="X20" s="3" t="str">
        <f t="shared" si="15"/>
        <v>WO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53" t="s">
        <v>41</v>
      </c>
      <c r="AE20" s="3" t="str">
        <f t="shared" si="14"/>
        <v>WO</v>
      </c>
      <c r="AF20" s="3" t="s">
        <v>43</v>
      </c>
      <c r="AG20" s="3" t="s">
        <v>43</v>
      </c>
      <c r="AH20" s="3" t="s">
        <v>43</v>
      </c>
      <c r="AI20" s="3" t="s">
        <v>43</v>
      </c>
      <c r="AJ20" s="3" t="s">
        <v>43</v>
      </c>
      <c r="AK20" s="3" t="s">
        <v>43</v>
      </c>
      <c r="AL20" s="3" t="str">
        <f t="shared" si="14"/>
        <v>WO</v>
      </c>
      <c r="AM20" s="3" t="s">
        <v>43</v>
      </c>
      <c r="AN20" s="3" t="s">
        <v>43</v>
      </c>
      <c r="AO20" s="36"/>
      <c r="AP20" s="42"/>
      <c r="AQ20" s="42"/>
      <c r="AR20" s="3">
        <v>12</v>
      </c>
      <c r="AS20" s="3">
        <v>1012</v>
      </c>
      <c r="AT20" s="3" t="str">
        <f t="shared" si="4"/>
        <v>September</v>
      </c>
      <c r="AU20" s="36" t="s">
        <v>14</v>
      </c>
      <c r="AV20">
        <f t="shared" si="5"/>
        <v>23</v>
      </c>
      <c r="AW20">
        <f t="shared" si="6"/>
        <v>1</v>
      </c>
      <c r="AX20">
        <f t="shared" si="7"/>
        <v>2</v>
      </c>
      <c r="AY20">
        <f t="shared" si="8"/>
        <v>4</v>
      </c>
      <c r="AZ20">
        <f t="shared" si="9"/>
        <v>30</v>
      </c>
      <c r="BA20">
        <f t="shared" si="10"/>
        <v>29</v>
      </c>
      <c r="BB20" s="28">
        <v>29000</v>
      </c>
      <c r="BC20" s="29">
        <f t="shared" si="11"/>
        <v>966.66666666666663</v>
      </c>
      <c r="BD20" s="28">
        <f t="shared" si="12"/>
        <v>966.66666666666663</v>
      </c>
      <c r="BE20" s="28">
        <f t="shared" si="13"/>
        <v>28033.333333333332</v>
      </c>
    </row>
    <row r="21" spans="4:59" ht="15.6" x14ac:dyDescent="0.3">
      <c r="D21" s="42"/>
      <c r="E21" s="42"/>
      <c r="F21" s="42"/>
      <c r="G21" s="59">
        <v>13</v>
      </c>
      <c r="H21" s="10">
        <v>1013</v>
      </c>
      <c r="I21" s="11" t="s">
        <v>15</v>
      </c>
      <c r="J21" s="54">
        <f t="shared" si="3"/>
        <v>4</v>
      </c>
      <c r="K21" s="3" t="s">
        <v>43</v>
      </c>
      <c r="L21" s="3" t="s">
        <v>43</v>
      </c>
      <c r="M21" s="53" t="s">
        <v>41</v>
      </c>
      <c r="N21" s="3" t="s">
        <v>43</v>
      </c>
      <c r="O21" s="3" t="s">
        <v>43</v>
      </c>
      <c r="P21" s="3" t="s">
        <v>43</v>
      </c>
      <c r="Q21" s="3" t="str">
        <f t="shared" si="15"/>
        <v>WO</v>
      </c>
      <c r="R21" s="3" t="s">
        <v>43</v>
      </c>
      <c r="S21" s="3" t="s">
        <v>43</v>
      </c>
      <c r="T21" s="3" t="s">
        <v>43</v>
      </c>
      <c r="U21" s="3" t="s">
        <v>43</v>
      </c>
      <c r="V21" s="3" t="s">
        <v>43</v>
      </c>
      <c r="W21" s="3" t="s">
        <v>43</v>
      </c>
      <c r="X21" s="3" t="str">
        <f t="shared" si="15"/>
        <v>WO</v>
      </c>
      <c r="Y21" s="3" t="s">
        <v>44</v>
      </c>
      <c r="Z21" s="3" t="s">
        <v>43</v>
      </c>
      <c r="AA21" s="3" t="s">
        <v>43</v>
      </c>
      <c r="AB21" s="3" t="s">
        <v>43</v>
      </c>
      <c r="AC21" s="3" t="s">
        <v>43</v>
      </c>
      <c r="AD21" s="53" t="s">
        <v>41</v>
      </c>
      <c r="AE21" s="3" t="str">
        <f t="shared" si="14"/>
        <v>WO</v>
      </c>
      <c r="AF21" s="3" t="s">
        <v>43</v>
      </c>
      <c r="AG21" s="3" t="s">
        <v>43</v>
      </c>
      <c r="AH21" s="3" t="s">
        <v>43</v>
      </c>
      <c r="AI21" s="3" t="s">
        <v>43</v>
      </c>
      <c r="AJ21" s="3" t="s">
        <v>43</v>
      </c>
      <c r="AK21" s="3" t="s">
        <v>43</v>
      </c>
      <c r="AL21" s="3" t="str">
        <f t="shared" si="14"/>
        <v>WO</v>
      </c>
      <c r="AM21" s="3" t="s">
        <v>43</v>
      </c>
      <c r="AN21" s="3" t="s">
        <v>43</v>
      </c>
      <c r="AO21" s="36"/>
      <c r="AP21" s="42"/>
      <c r="AQ21" s="42"/>
      <c r="AR21" s="3">
        <v>13</v>
      </c>
      <c r="AS21" s="3">
        <v>1013</v>
      </c>
      <c r="AT21" s="3" t="str">
        <f t="shared" si="4"/>
        <v>September</v>
      </c>
      <c r="AU21" s="36" t="s">
        <v>15</v>
      </c>
      <c r="AV21">
        <f t="shared" si="5"/>
        <v>23</v>
      </c>
      <c r="AW21">
        <f t="shared" si="6"/>
        <v>1</v>
      </c>
      <c r="AX21">
        <f t="shared" si="7"/>
        <v>2</v>
      </c>
      <c r="AY21">
        <f t="shared" si="8"/>
        <v>4</v>
      </c>
      <c r="AZ21">
        <f t="shared" si="9"/>
        <v>30</v>
      </c>
      <c r="BA21">
        <f t="shared" si="10"/>
        <v>29</v>
      </c>
      <c r="BB21" s="28">
        <v>37000</v>
      </c>
      <c r="BC21" s="29">
        <f t="shared" si="11"/>
        <v>1233.3333333333333</v>
      </c>
      <c r="BD21" s="28">
        <f t="shared" si="12"/>
        <v>1233.3333333333333</v>
      </c>
      <c r="BE21" s="28">
        <f t="shared" si="13"/>
        <v>35766.666666666664</v>
      </c>
    </row>
    <row r="22" spans="4:59" ht="15.6" x14ac:dyDescent="0.3">
      <c r="D22" s="42"/>
      <c r="E22" s="42"/>
      <c r="F22" s="42"/>
      <c r="G22" s="59">
        <v>14</v>
      </c>
      <c r="H22" s="10">
        <v>1014</v>
      </c>
      <c r="I22" s="11" t="s">
        <v>16</v>
      </c>
      <c r="J22" s="54">
        <f t="shared" si="3"/>
        <v>4</v>
      </c>
      <c r="K22" s="3" t="s">
        <v>43</v>
      </c>
      <c r="L22" s="3" t="s">
        <v>43</v>
      </c>
      <c r="M22" s="53" t="s">
        <v>41</v>
      </c>
      <c r="N22" s="3" t="s">
        <v>43</v>
      </c>
      <c r="O22" s="3" t="s">
        <v>43</v>
      </c>
      <c r="P22" s="3" t="s">
        <v>43</v>
      </c>
      <c r="Q22" s="3" t="str">
        <f t="shared" si="15"/>
        <v>WO</v>
      </c>
      <c r="R22" s="3" t="s">
        <v>43</v>
      </c>
      <c r="S22" s="3" t="s">
        <v>43</v>
      </c>
      <c r="T22" s="3" t="s">
        <v>43</v>
      </c>
      <c r="U22" s="3" t="s">
        <v>44</v>
      </c>
      <c r="V22" s="3" t="s">
        <v>43</v>
      </c>
      <c r="W22" s="3" t="s">
        <v>43</v>
      </c>
      <c r="X22" s="3" t="str">
        <f t="shared" si="15"/>
        <v>WO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53" t="s">
        <v>41</v>
      </c>
      <c r="AE22" s="3" t="str">
        <f t="shared" si="14"/>
        <v>WO</v>
      </c>
      <c r="AF22" s="3" t="s">
        <v>43</v>
      </c>
      <c r="AG22" s="3" t="s">
        <v>43</v>
      </c>
      <c r="AH22" s="3" t="s">
        <v>43</v>
      </c>
      <c r="AI22" s="3" t="s">
        <v>44</v>
      </c>
      <c r="AJ22" s="3" t="s">
        <v>43</v>
      </c>
      <c r="AK22" s="3" t="s">
        <v>43</v>
      </c>
      <c r="AL22" s="3" t="str">
        <f t="shared" si="14"/>
        <v>WO</v>
      </c>
      <c r="AM22" s="3" t="s">
        <v>43</v>
      </c>
      <c r="AN22" s="3" t="s">
        <v>43</v>
      </c>
      <c r="AO22" s="36"/>
      <c r="AP22" s="42"/>
      <c r="AQ22" s="42"/>
      <c r="AR22" s="3">
        <v>14</v>
      </c>
      <c r="AS22" s="3">
        <v>1014</v>
      </c>
      <c r="AT22" s="3" t="str">
        <f t="shared" si="4"/>
        <v>September</v>
      </c>
      <c r="AU22" s="36" t="s">
        <v>16</v>
      </c>
      <c r="AV22">
        <f t="shared" si="5"/>
        <v>22</v>
      </c>
      <c r="AW22">
        <f t="shared" si="6"/>
        <v>2</v>
      </c>
      <c r="AX22">
        <f t="shared" si="7"/>
        <v>2</v>
      </c>
      <c r="AY22">
        <f t="shared" si="8"/>
        <v>4</v>
      </c>
      <c r="AZ22">
        <f t="shared" si="9"/>
        <v>30</v>
      </c>
      <c r="BA22">
        <f t="shared" si="10"/>
        <v>28</v>
      </c>
      <c r="BB22" s="28">
        <v>41000</v>
      </c>
      <c r="BC22" s="29">
        <f t="shared" si="11"/>
        <v>1366.6666666666667</v>
      </c>
      <c r="BD22" s="28">
        <f t="shared" si="12"/>
        <v>2733.3333333333335</v>
      </c>
      <c r="BE22" s="28">
        <f t="shared" si="13"/>
        <v>38266.666666666664</v>
      </c>
    </row>
    <row r="23" spans="4:59" ht="15.6" x14ac:dyDescent="0.3">
      <c r="D23" s="42"/>
      <c r="E23" s="42"/>
      <c r="F23" s="42"/>
      <c r="G23" s="59">
        <v>15</v>
      </c>
      <c r="H23" s="10">
        <v>1015</v>
      </c>
      <c r="I23" s="11" t="s">
        <v>17</v>
      </c>
      <c r="J23" s="54">
        <f t="shared" si="3"/>
        <v>4</v>
      </c>
      <c r="K23" s="3" t="s">
        <v>43</v>
      </c>
      <c r="L23" s="3" t="s">
        <v>43</v>
      </c>
      <c r="M23" s="53" t="s">
        <v>41</v>
      </c>
      <c r="N23" s="3" t="s">
        <v>43</v>
      </c>
      <c r="O23" s="3" t="s">
        <v>44</v>
      </c>
      <c r="P23" s="3" t="s">
        <v>43</v>
      </c>
      <c r="Q23" s="3" t="str">
        <f t="shared" si="15"/>
        <v>WO</v>
      </c>
      <c r="R23" s="3" t="s">
        <v>43</v>
      </c>
      <c r="S23" s="3" t="s">
        <v>44</v>
      </c>
      <c r="T23" s="3" t="s">
        <v>43</v>
      </c>
      <c r="U23" s="3" t="s">
        <v>43</v>
      </c>
      <c r="V23" s="3" t="s">
        <v>43</v>
      </c>
      <c r="W23" s="3" t="s">
        <v>43</v>
      </c>
      <c r="X23" s="3" t="str">
        <f t="shared" si="15"/>
        <v>WO</v>
      </c>
      <c r="Y23" s="3" t="s">
        <v>43</v>
      </c>
      <c r="Z23" s="3" t="s">
        <v>43</v>
      </c>
      <c r="AA23" s="3" t="s">
        <v>43</v>
      </c>
      <c r="AB23" s="3" t="s">
        <v>44</v>
      </c>
      <c r="AC23" s="3" t="s">
        <v>43</v>
      </c>
      <c r="AD23" s="53" t="s">
        <v>41</v>
      </c>
      <c r="AE23" s="3" t="str">
        <f t="shared" si="14"/>
        <v>WO</v>
      </c>
      <c r="AF23" s="3" t="s">
        <v>43</v>
      </c>
      <c r="AG23" s="3" t="s">
        <v>43</v>
      </c>
      <c r="AH23" s="3" t="s">
        <v>43</v>
      </c>
      <c r="AI23" s="3" t="s">
        <v>43</v>
      </c>
      <c r="AJ23" s="3" t="s">
        <v>43</v>
      </c>
      <c r="AK23" s="3" t="s">
        <v>43</v>
      </c>
      <c r="AL23" s="3" t="str">
        <f t="shared" si="14"/>
        <v>WO</v>
      </c>
      <c r="AM23" s="3" t="s">
        <v>43</v>
      </c>
      <c r="AN23" s="3" t="s">
        <v>43</v>
      </c>
      <c r="AO23" s="36"/>
      <c r="AP23" s="42"/>
      <c r="AQ23" s="42"/>
      <c r="AR23" s="3">
        <v>15</v>
      </c>
      <c r="AS23" s="3">
        <v>1015</v>
      </c>
      <c r="AT23" s="3" t="str">
        <f t="shared" si="4"/>
        <v>September</v>
      </c>
      <c r="AU23" s="36" t="s">
        <v>17</v>
      </c>
      <c r="AV23">
        <f t="shared" si="5"/>
        <v>21</v>
      </c>
      <c r="AW23">
        <f t="shared" si="6"/>
        <v>3</v>
      </c>
      <c r="AX23">
        <f t="shared" si="7"/>
        <v>2</v>
      </c>
      <c r="AY23">
        <f t="shared" si="8"/>
        <v>4</v>
      </c>
      <c r="AZ23">
        <f t="shared" si="9"/>
        <v>30</v>
      </c>
      <c r="BA23">
        <f t="shared" si="10"/>
        <v>27</v>
      </c>
      <c r="BB23" s="28">
        <v>45000</v>
      </c>
      <c r="BC23" s="29">
        <f t="shared" si="11"/>
        <v>1500</v>
      </c>
      <c r="BD23" s="28">
        <f t="shared" si="12"/>
        <v>4500</v>
      </c>
      <c r="BE23" s="28">
        <f t="shared" si="13"/>
        <v>40500</v>
      </c>
    </row>
    <row r="24" spans="4:59" ht="15.6" x14ac:dyDescent="0.3">
      <c r="D24" s="42"/>
      <c r="E24" s="42"/>
      <c r="F24" s="42"/>
      <c r="G24" s="59">
        <v>16</v>
      </c>
      <c r="H24" s="10">
        <v>1016</v>
      </c>
      <c r="I24" s="11" t="s">
        <v>18</v>
      </c>
      <c r="J24" s="54">
        <f t="shared" si="3"/>
        <v>4</v>
      </c>
      <c r="K24" s="3" t="s">
        <v>43</v>
      </c>
      <c r="L24" s="3" t="s">
        <v>43</v>
      </c>
      <c r="M24" s="53" t="s">
        <v>41</v>
      </c>
      <c r="N24" s="3" t="s">
        <v>43</v>
      </c>
      <c r="O24" s="3" t="s">
        <v>43</v>
      </c>
      <c r="P24" s="3" t="s">
        <v>43</v>
      </c>
      <c r="Q24" s="3" t="str">
        <f t="shared" si="15"/>
        <v>WO</v>
      </c>
      <c r="R24" s="3" t="s">
        <v>43</v>
      </c>
      <c r="S24" s="3" t="s">
        <v>43</v>
      </c>
      <c r="T24" s="3" t="s">
        <v>43</v>
      </c>
      <c r="U24" s="3" t="s">
        <v>43</v>
      </c>
      <c r="V24" s="3" t="s">
        <v>43</v>
      </c>
      <c r="W24" s="3" t="s">
        <v>43</v>
      </c>
      <c r="X24" s="3" t="str">
        <f t="shared" si="15"/>
        <v>WO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53" t="s">
        <v>41</v>
      </c>
      <c r="AE24" s="3" t="str">
        <f t="shared" si="14"/>
        <v>WO</v>
      </c>
      <c r="AF24" s="3" t="s">
        <v>43</v>
      </c>
      <c r="AG24" s="3" t="s">
        <v>43</v>
      </c>
      <c r="AH24" s="3" t="s">
        <v>43</v>
      </c>
      <c r="AI24" s="3" t="s">
        <v>43</v>
      </c>
      <c r="AJ24" s="3" t="s">
        <v>43</v>
      </c>
      <c r="AK24" s="3" t="s">
        <v>43</v>
      </c>
      <c r="AL24" s="3" t="str">
        <f t="shared" si="14"/>
        <v>WO</v>
      </c>
      <c r="AM24" s="3" t="s">
        <v>43</v>
      </c>
      <c r="AN24" s="3" t="s">
        <v>43</v>
      </c>
      <c r="AO24" s="36"/>
      <c r="AP24" s="42"/>
      <c r="AQ24" s="42"/>
      <c r="AR24" s="3">
        <v>16</v>
      </c>
      <c r="AS24" s="3">
        <v>1016</v>
      </c>
      <c r="AT24" s="3" t="str">
        <f t="shared" si="4"/>
        <v>September</v>
      </c>
      <c r="AU24" s="36" t="s">
        <v>18</v>
      </c>
      <c r="AV24">
        <f t="shared" si="5"/>
        <v>24</v>
      </c>
      <c r="AW24">
        <f t="shared" si="6"/>
        <v>0</v>
      </c>
      <c r="AX24">
        <f t="shared" si="7"/>
        <v>2</v>
      </c>
      <c r="AY24">
        <f t="shared" si="8"/>
        <v>4</v>
      </c>
      <c r="AZ24">
        <f t="shared" si="9"/>
        <v>30</v>
      </c>
      <c r="BA24">
        <f t="shared" si="10"/>
        <v>30</v>
      </c>
      <c r="BB24" s="28">
        <v>21000</v>
      </c>
      <c r="BC24" s="29">
        <f t="shared" si="11"/>
        <v>700</v>
      </c>
      <c r="BD24" s="28">
        <f t="shared" si="12"/>
        <v>0</v>
      </c>
      <c r="BE24" s="28">
        <f t="shared" si="13"/>
        <v>21000</v>
      </c>
    </row>
    <row r="25" spans="4:59" ht="15.6" x14ac:dyDescent="0.3">
      <c r="D25" s="42"/>
      <c r="E25" s="42"/>
      <c r="F25" s="42"/>
      <c r="G25" s="59">
        <v>17</v>
      </c>
      <c r="H25" s="10">
        <v>1017</v>
      </c>
      <c r="I25" s="11" t="s">
        <v>19</v>
      </c>
      <c r="J25" s="54">
        <f t="shared" si="3"/>
        <v>4</v>
      </c>
      <c r="K25" s="3" t="s">
        <v>43</v>
      </c>
      <c r="L25" s="3" t="s">
        <v>43</v>
      </c>
      <c r="M25" s="53" t="s">
        <v>41</v>
      </c>
      <c r="N25" s="3" t="s">
        <v>43</v>
      </c>
      <c r="O25" s="3" t="s">
        <v>43</v>
      </c>
      <c r="P25" s="3" t="s">
        <v>43</v>
      </c>
      <c r="Q25" s="3" t="str">
        <f t="shared" si="15"/>
        <v>WO</v>
      </c>
      <c r="R25" s="3" t="s">
        <v>43</v>
      </c>
      <c r="S25" s="3" t="s">
        <v>43</v>
      </c>
      <c r="T25" s="3" t="s">
        <v>43</v>
      </c>
      <c r="U25" s="3" t="s">
        <v>43</v>
      </c>
      <c r="V25" s="3" t="s">
        <v>43</v>
      </c>
      <c r="W25" s="3" t="s">
        <v>44</v>
      </c>
      <c r="X25" s="3" t="str">
        <f t="shared" si="15"/>
        <v>WO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43</v>
      </c>
      <c r="AD25" s="53" t="s">
        <v>41</v>
      </c>
      <c r="AE25" s="3" t="str">
        <f t="shared" si="14"/>
        <v>WO</v>
      </c>
      <c r="AF25" s="3" t="s">
        <v>43</v>
      </c>
      <c r="AG25" s="3" t="s">
        <v>43</v>
      </c>
      <c r="AH25" s="3" t="s">
        <v>43</v>
      </c>
      <c r="AI25" s="3" t="s">
        <v>43</v>
      </c>
      <c r="AJ25" s="3" t="s">
        <v>43</v>
      </c>
      <c r="AK25" s="3" t="s">
        <v>43</v>
      </c>
      <c r="AL25" s="3" t="str">
        <f t="shared" si="14"/>
        <v>WO</v>
      </c>
      <c r="AM25" s="3" t="s">
        <v>43</v>
      </c>
      <c r="AN25" s="3" t="s">
        <v>43</v>
      </c>
      <c r="AO25" s="36"/>
      <c r="AP25" s="42"/>
      <c r="AQ25" s="42"/>
      <c r="AR25" s="3">
        <v>17</v>
      </c>
      <c r="AS25" s="3">
        <v>1017</v>
      </c>
      <c r="AT25" s="3" t="str">
        <f t="shared" si="4"/>
        <v>September</v>
      </c>
      <c r="AU25" s="36" t="s">
        <v>19</v>
      </c>
      <c r="AV25">
        <f t="shared" si="5"/>
        <v>23</v>
      </c>
      <c r="AW25">
        <f t="shared" si="6"/>
        <v>1</v>
      </c>
      <c r="AX25">
        <f t="shared" si="7"/>
        <v>2</v>
      </c>
      <c r="AY25">
        <f t="shared" si="8"/>
        <v>4</v>
      </c>
      <c r="AZ25">
        <f t="shared" si="9"/>
        <v>30</v>
      </c>
      <c r="BA25">
        <f t="shared" si="10"/>
        <v>29</v>
      </c>
      <c r="BB25" s="28">
        <v>26000</v>
      </c>
      <c r="BC25" s="29">
        <f t="shared" si="11"/>
        <v>866.66666666666663</v>
      </c>
      <c r="BD25" s="28">
        <f t="shared" si="12"/>
        <v>866.66666666666663</v>
      </c>
      <c r="BE25" s="28">
        <f t="shared" si="13"/>
        <v>25133.333333333332</v>
      </c>
    </row>
    <row r="26" spans="4:59" ht="15.6" x14ac:dyDescent="0.3">
      <c r="D26" s="42"/>
      <c r="E26" s="42"/>
      <c r="F26" s="42"/>
      <c r="G26" s="59">
        <v>18</v>
      </c>
      <c r="H26" s="10">
        <v>1018</v>
      </c>
      <c r="I26" s="11" t="s">
        <v>20</v>
      </c>
      <c r="J26" s="54">
        <f t="shared" si="3"/>
        <v>4</v>
      </c>
      <c r="K26" s="3" t="s">
        <v>43</v>
      </c>
      <c r="L26" s="3" t="s">
        <v>43</v>
      </c>
      <c r="M26" s="53" t="s">
        <v>41</v>
      </c>
      <c r="N26" s="3" t="s">
        <v>43</v>
      </c>
      <c r="O26" s="3" t="s">
        <v>43</v>
      </c>
      <c r="P26" s="3" t="s">
        <v>43</v>
      </c>
      <c r="Q26" s="3" t="str">
        <f t="shared" si="15"/>
        <v>WO</v>
      </c>
      <c r="R26" s="3" t="s">
        <v>43</v>
      </c>
      <c r="S26" s="3" t="s">
        <v>43</v>
      </c>
      <c r="T26" s="3" t="s">
        <v>43</v>
      </c>
      <c r="U26" s="3" t="s">
        <v>43</v>
      </c>
      <c r="V26" s="3" t="s">
        <v>43</v>
      </c>
      <c r="W26" s="3" t="s">
        <v>43</v>
      </c>
      <c r="X26" s="3" t="str">
        <f t="shared" si="15"/>
        <v>WO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43</v>
      </c>
      <c r="AD26" s="53" t="s">
        <v>41</v>
      </c>
      <c r="AE26" s="3" t="str">
        <f t="shared" si="14"/>
        <v>WO</v>
      </c>
      <c r="AF26" s="3" t="s">
        <v>43</v>
      </c>
      <c r="AG26" s="3" t="s">
        <v>44</v>
      </c>
      <c r="AH26" s="3" t="s">
        <v>43</v>
      </c>
      <c r="AI26" s="3" t="s">
        <v>43</v>
      </c>
      <c r="AJ26" s="3" t="s">
        <v>43</v>
      </c>
      <c r="AK26" s="3" t="s">
        <v>43</v>
      </c>
      <c r="AL26" s="3" t="str">
        <f t="shared" si="14"/>
        <v>WO</v>
      </c>
      <c r="AM26" s="3" t="s">
        <v>44</v>
      </c>
      <c r="AN26" s="3" t="s">
        <v>43</v>
      </c>
      <c r="AO26" s="36"/>
      <c r="AP26" s="42"/>
      <c r="AQ26" s="42"/>
      <c r="AR26" s="3">
        <v>18</v>
      </c>
      <c r="AS26" s="3">
        <v>1018</v>
      </c>
      <c r="AT26" s="3" t="str">
        <f t="shared" si="4"/>
        <v>September</v>
      </c>
      <c r="AU26" s="36" t="s">
        <v>20</v>
      </c>
      <c r="AV26">
        <f t="shared" si="5"/>
        <v>22</v>
      </c>
      <c r="AW26">
        <f t="shared" si="6"/>
        <v>2</v>
      </c>
      <c r="AX26">
        <f t="shared" si="7"/>
        <v>2</v>
      </c>
      <c r="AY26">
        <f t="shared" si="8"/>
        <v>4</v>
      </c>
      <c r="AZ26">
        <f t="shared" si="9"/>
        <v>30</v>
      </c>
      <c r="BA26">
        <f t="shared" si="10"/>
        <v>28</v>
      </c>
      <c r="BB26" s="28">
        <v>35000</v>
      </c>
      <c r="BC26" s="29">
        <f t="shared" si="11"/>
        <v>1166.6666666666667</v>
      </c>
      <c r="BD26" s="28">
        <f t="shared" si="12"/>
        <v>2333.3333333333335</v>
      </c>
      <c r="BE26" s="28">
        <f t="shared" si="13"/>
        <v>32666.666666666668</v>
      </c>
    </row>
    <row r="27" spans="4:59" ht="15.6" x14ac:dyDescent="0.3">
      <c r="D27" s="42"/>
      <c r="E27" s="42"/>
      <c r="F27" s="42"/>
      <c r="G27" s="59">
        <v>19</v>
      </c>
      <c r="H27" s="10">
        <v>1019</v>
      </c>
      <c r="I27" s="11" t="s">
        <v>21</v>
      </c>
      <c r="J27" s="54">
        <f t="shared" si="3"/>
        <v>4</v>
      </c>
      <c r="K27" s="3" t="s">
        <v>43</v>
      </c>
      <c r="L27" s="3" t="s">
        <v>43</v>
      </c>
      <c r="M27" s="53" t="s">
        <v>41</v>
      </c>
      <c r="N27" s="3" t="s">
        <v>44</v>
      </c>
      <c r="O27" s="3" t="s">
        <v>43</v>
      </c>
      <c r="P27" s="3" t="s">
        <v>43</v>
      </c>
      <c r="Q27" s="3" t="str">
        <f t="shared" si="15"/>
        <v>WO</v>
      </c>
      <c r="R27" s="3" t="s">
        <v>43</v>
      </c>
      <c r="S27" s="3" t="s">
        <v>43</v>
      </c>
      <c r="T27" s="3" t="s">
        <v>43</v>
      </c>
      <c r="U27" s="3" t="s">
        <v>43</v>
      </c>
      <c r="V27" s="3" t="s">
        <v>43</v>
      </c>
      <c r="W27" s="3" t="s">
        <v>43</v>
      </c>
      <c r="X27" s="3" t="str">
        <f t="shared" si="15"/>
        <v>WO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53" t="s">
        <v>41</v>
      </c>
      <c r="AE27" s="3" t="str">
        <f t="shared" si="14"/>
        <v>WO</v>
      </c>
      <c r="AF27" s="3" t="s">
        <v>43</v>
      </c>
      <c r="AG27" s="3" t="s">
        <v>43</v>
      </c>
      <c r="AH27" s="3" t="s">
        <v>43</v>
      </c>
      <c r="AI27" s="3" t="s">
        <v>43</v>
      </c>
      <c r="AJ27" s="3" t="s">
        <v>43</v>
      </c>
      <c r="AK27" s="3" t="s">
        <v>43</v>
      </c>
      <c r="AL27" s="3" t="str">
        <f t="shared" si="14"/>
        <v>WO</v>
      </c>
      <c r="AM27" s="3" t="s">
        <v>43</v>
      </c>
      <c r="AN27" s="3" t="s">
        <v>43</v>
      </c>
      <c r="AO27" s="36"/>
      <c r="AP27" s="42"/>
      <c r="AQ27" s="42"/>
      <c r="AR27" s="3">
        <v>19</v>
      </c>
      <c r="AS27" s="3">
        <v>1019</v>
      </c>
      <c r="AT27" s="3" t="str">
        <f t="shared" si="4"/>
        <v>September</v>
      </c>
      <c r="AU27" s="36" t="s">
        <v>21</v>
      </c>
      <c r="AV27">
        <f t="shared" si="5"/>
        <v>23</v>
      </c>
      <c r="AW27">
        <f t="shared" si="6"/>
        <v>1</v>
      </c>
      <c r="AX27">
        <f t="shared" si="7"/>
        <v>2</v>
      </c>
      <c r="AY27">
        <f t="shared" si="8"/>
        <v>4</v>
      </c>
      <c r="AZ27">
        <f t="shared" si="9"/>
        <v>30</v>
      </c>
      <c r="BA27">
        <f t="shared" si="10"/>
        <v>29</v>
      </c>
      <c r="BB27" s="28">
        <v>55000</v>
      </c>
      <c r="BC27" s="29">
        <f t="shared" si="11"/>
        <v>1833.3333333333333</v>
      </c>
      <c r="BD27" s="28">
        <f t="shared" si="12"/>
        <v>1833.3333333333333</v>
      </c>
      <c r="BE27" s="28">
        <f t="shared" si="13"/>
        <v>53166.666666666664</v>
      </c>
    </row>
    <row r="28" spans="4:59" ht="16.2" thickBot="1" x14ac:dyDescent="0.35">
      <c r="D28" s="42"/>
      <c r="E28" s="42"/>
      <c r="F28" s="42"/>
      <c r="G28" s="61">
        <v>20</v>
      </c>
      <c r="H28" s="62">
        <v>1020</v>
      </c>
      <c r="I28" s="63" t="s">
        <v>22</v>
      </c>
      <c r="J28" s="74">
        <f t="shared" si="3"/>
        <v>4</v>
      </c>
      <c r="K28" s="37" t="s">
        <v>43</v>
      </c>
      <c r="L28" s="37" t="s">
        <v>43</v>
      </c>
      <c r="M28" s="75" t="s">
        <v>41</v>
      </c>
      <c r="N28" s="37" t="s">
        <v>43</v>
      </c>
      <c r="O28" s="37" t="s">
        <v>43</v>
      </c>
      <c r="P28" s="37" t="s">
        <v>44</v>
      </c>
      <c r="Q28" s="37" t="str">
        <f t="shared" si="15"/>
        <v>WO</v>
      </c>
      <c r="R28" s="37" t="s">
        <v>43</v>
      </c>
      <c r="S28" s="37" t="s">
        <v>43</v>
      </c>
      <c r="T28" s="37" t="s">
        <v>44</v>
      </c>
      <c r="U28" s="37" t="s">
        <v>43</v>
      </c>
      <c r="V28" s="37" t="s">
        <v>43</v>
      </c>
      <c r="W28" s="37" t="s">
        <v>43</v>
      </c>
      <c r="X28" s="37" t="str">
        <f t="shared" si="15"/>
        <v>WO</v>
      </c>
      <c r="Y28" s="37" t="s">
        <v>43</v>
      </c>
      <c r="Z28" s="37" t="s">
        <v>43</v>
      </c>
      <c r="AA28" s="37" t="s">
        <v>43</v>
      </c>
      <c r="AB28" s="37" t="s">
        <v>44</v>
      </c>
      <c r="AC28" s="37" t="s">
        <v>43</v>
      </c>
      <c r="AD28" s="75" t="s">
        <v>41</v>
      </c>
      <c r="AE28" s="37" t="str">
        <f t="shared" si="14"/>
        <v>WO</v>
      </c>
      <c r="AF28" s="37" t="s">
        <v>43</v>
      </c>
      <c r="AG28" s="37" t="s">
        <v>43</v>
      </c>
      <c r="AH28" s="37" t="s">
        <v>43</v>
      </c>
      <c r="AI28" s="37" t="s">
        <v>43</v>
      </c>
      <c r="AJ28" s="37" t="s">
        <v>43</v>
      </c>
      <c r="AK28" s="37" t="s">
        <v>43</v>
      </c>
      <c r="AL28" s="37" t="str">
        <f t="shared" si="14"/>
        <v>WO</v>
      </c>
      <c r="AM28" s="37" t="s">
        <v>43</v>
      </c>
      <c r="AN28" s="37" t="s">
        <v>43</v>
      </c>
      <c r="AO28" s="38"/>
      <c r="AP28" s="42"/>
      <c r="AQ28" s="42"/>
      <c r="AR28" s="37">
        <v>20</v>
      </c>
      <c r="AS28" s="37">
        <v>1020</v>
      </c>
      <c r="AT28" s="37" t="str">
        <f t="shared" si="4"/>
        <v>September</v>
      </c>
      <c r="AU28" s="38" t="s">
        <v>22</v>
      </c>
      <c r="AV28" s="33">
        <f t="shared" si="5"/>
        <v>21</v>
      </c>
      <c r="AW28" s="33">
        <f t="shared" si="6"/>
        <v>3</v>
      </c>
      <c r="AX28" s="33">
        <f t="shared" si="7"/>
        <v>2</v>
      </c>
      <c r="AY28" s="33">
        <f t="shared" si="8"/>
        <v>4</v>
      </c>
      <c r="AZ28" s="33">
        <f t="shared" si="9"/>
        <v>30</v>
      </c>
      <c r="BA28" s="33">
        <f t="shared" si="10"/>
        <v>27</v>
      </c>
      <c r="BB28" s="34">
        <v>44000</v>
      </c>
      <c r="BC28" s="35">
        <f t="shared" si="11"/>
        <v>1466.6666666666667</v>
      </c>
      <c r="BD28" s="34">
        <f t="shared" si="12"/>
        <v>4400</v>
      </c>
      <c r="BE28" s="34">
        <f t="shared" si="13"/>
        <v>39600</v>
      </c>
    </row>
    <row r="29" spans="4:59" x14ac:dyDescent="0.3"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</row>
    <row r="30" spans="4:59" x14ac:dyDescent="0.3"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</row>
    <row r="31" spans="4:59" x14ac:dyDescent="0.3"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</row>
    <row r="32" spans="4:59" x14ac:dyDescent="0.3"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</row>
    <row r="33" spans="4:59" x14ac:dyDescent="0.3"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</row>
    <row r="34" spans="4:59" x14ac:dyDescent="0.3"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4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</row>
    <row r="35" spans="4:59" x14ac:dyDescent="0.3"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</row>
    <row r="36" spans="4:59" x14ac:dyDescent="0.3"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</row>
    <row r="37" spans="4:59" x14ac:dyDescent="0.3"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</row>
    <row r="38" spans="4:59" x14ac:dyDescent="0.3"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</row>
    <row r="39" spans="4:59" x14ac:dyDescent="0.3"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</row>
    <row r="40" spans="4:59" x14ac:dyDescent="0.3"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</row>
    <row r="41" spans="4:59" x14ac:dyDescent="0.3"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</row>
    <row r="42" spans="4:59" x14ac:dyDescent="0.3"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</row>
    <row r="43" spans="4:59" x14ac:dyDescent="0.3"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</row>
    <row r="44" spans="4:59" x14ac:dyDescent="0.3"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</row>
  </sheetData>
  <mergeCells count="1">
    <mergeCell ref="G7:I7"/>
  </mergeCells>
  <conditionalFormatting sqref="K9:AO28">
    <cfRule type="containsText" dxfId="15" priority="1" operator="containsText" text="L">
      <formula>NOT(ISERROR(SEARCH("L",K9)))</formula>
    </cfRule>
    <cfRule type="containsText" dxfId="14" priority="2" operator="containsText" text="A">
      <formula>NOT(ISERROR(SEARCH("A",K9)))</formula>
    </cfRule>
    <cfRule type="containsText" dxfId="13" priority="3" operator="containsText" text="P">
      <formula>NOT(ISERROR(SEARCH("P",K9)))</formula>
    </cfRule>
    <cfRule type="containsText" dxfId="12" priority="4" operator="containsText" text="WO">
      <formula>NOT(ISERROR(SEARCH("WO",K9)))</formula>
    </cfRule>
  </conditionalFormatting>
  <dataValidations count="1">
    <dataValidation type="list" allowBlank="1" showInputMessage="1" showErrorMessage="1" sqref="AM9:AN28 R9:W28 K9:P28 AF9:AK28 Y9:AD28" xr:uid="{F9CA2783-F19E-4017-8500-C901AA3A1B05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F677D43-4C15-4214-A2E9-B0ADF0446793}">
          <x14:formula1>
            <xm:f>Rough!$A$1:$A$12</xm:f>
          </x14:formula1>
          <xm:sqref>H5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4D345-B6B1-479E-9F77-4A2948986F93}">
  <dimension ref="D1:BG44"/>
  <sheetViews>
    <sheetView topLeftCell="A20" zoomScaleNormal="100" workbookViewId="0"/>
  </sheetViews>
  <sheetFormatPr defaultRowHeight="14.4" x14ac:dyDescent="0.3"/>
  <cols>
    <col min="7" max="7" width="9.6640625" customWidth="1"/>
    <col min="8" max="8" width="14.88671875" customWidth="1"/>
    <col min="9" max="9" width="20.21875" customWidth="1"/>
    <col min="10" max="10" width="9.88671875" bestFit="1" customWidth="1"/>
    <col min="11" max="11" width="5.44140625" bestFit="1" customWidth="1"/>
    <col min="12" max="12" width="5" bestFit="1" customWidth="1"/>
    <col min="13" max="13" width="4.109375" bestFit="1" customWidth="1"/>
    <col min="14" max="14" width="4.33203125" bestFit="1" customWidth="1"/>
    <col min="15" max="15" width="5" bestFit="1" customWidth="1"/>
    <col min="16" max="16" width="5.33203125" bestFit="1" customWidth="1"/>
    <col min="17" max="17" width="4.77734375" bestFit="1" customWidth="1"/>
    <col min="18" max="18" width="5.44140625" bestFit="1" customWidth="1"/>
    <col min="19" max="19" width="5" bestFit="1" customWidth="1"/>
    <col min="20" max="20" width="4.109375" bestFit="1" customWidth="1"/>
    <col min="21" max="21" width="4.33203125" bestFit="1" customWidth="1"/>
    <col min="22" max="22" width="5" bestFit="1" customWidth="1"/>
    <col min="23" max="23" width="5.33203125" bestFit="1" customWidth="1"/>
    <col min="24" max="24" width="4.77734375" bestFit="1" customWidth="1"/>
    <col min="25" max="25" width="5.44140625" bestFit="1" customWidth="1"/>
    <col min="26" max="26" width="5" bestFit="1" customWidth="1"/>
    <col min="27" max="27" width="4.109375" bestFit="1" customWidth="1"/>
    <col min="28" max="28" width="4.33203125" bestFit="1" customWidth="1"/>
    <col min="29" max="29" width="5" bestFit="1" customWidth="1"/>
    <col min="30" max="30" width="5.33203125" bestFit="1" customWidth="1"/>
    <col min="31" max="31" width="4.77734375" bestFit="1" customWidth="1"/>
    <col min="32" max="32" width="5.44140625" bestFit="1" customWidth="1"/>
    <col min="33" max="33" width="5" bestFit="1" customWidth="1"/>
    <col min="34" max="34" width="4.109375" bestFit="1" customWidth="1"/>
    <col min="35" max="35" width="4.33203125" bestFit="1" customWidth="1"/>
    <col min="36" max="36" width="5" bestFit="1" customWidth="1"/>
    <col min="37" max="37" width="5.33203125" bestFit="1" customWidth="1"/>
    <col min="38" max="38" width="4.77734375" bestFit="1" customWidth="1"/>
    <col min="39" max="39" width="5.44140625" bestFit="1" customWidth="1"/>
    <col min="40" max="40" width="5" bestFit="1" customWidth="1"/>
    <col min="41" max="41" width="4.109375" bestFit="1" customWidth="1"/>
    <col min="44" max="44" width="7" customWidth="1"/>
    <col min="45" max="45" width="15.33203125" customWidth="1"/>
    <col min="46" max="46" width="12.5546875" customWidth="1"/>
    <col min="47" max="47" width="19" bestFit="1" customWidth="1"/>
    <col min="48" max="49" width="10.109375" customWidth="1"/>
    <col min="51" max="51" width="11.109375" customWidth="1"/>
    <col min="53" max="53" width="12.5546875" customWidth="1"/>
    <col min="54" max="54" width="12" bestFit="1" customWidth="1"/>
    <col min="55" max="55" width="16.77734375" customWidth="1"/>
    <col min="56" max="56" width="12.5546875" customWidth="1"/>
    <col min="57" max="57" width="14.44140625" customWidth="1"/>
  </cols>
  <sheetData>
    <row r="1" spans="4:59" x14ac:dyDescent="0.3">
      <c r="AQ1" s="42"/>
    </row>
    <row r="2" spans="4:59" x14ac:dyDescent="0.3">
      <c r="AQ2" s="42"/>
    </row>
    <row r="3" spans="4:59" x14ac:dyDescent="0.3">
      <c r="AQ3" s="42"/>
    </row>
    <row r="4" spans="4:59" x14ac:dyDescent="0.3">
      <c r="D4" s="42"/>
      <c r="E4" s="42"/>
      <c r="F4" s="42"/>
      <c r="G4" s="68"/>
      <c r="H4" s="68"/>
      <c r="I4" s="68">
        <f>(DATEDIF($H$5,$H$6,"D")+1)</f>
        <v>31</v>
      </c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</row>
    <row r="5" spans="4:59" x14ac:dyDescent="0.3">
      <c r="D5" s="42"/>
      <c r="E5" s="42"/>
      <c r="F5" s="42"/>
      <c r="G5" s="68" t="s">
        <v>26</v>
      </c>
      <c r="H5" s="69">
        <v>45931</v>
      </c>
      <c r="I5" s="68" t="str">
        <f>TEXT(H5,"MMMM")</f>
        <v>October</v>
      </c>
      <c r="J5" s="42"/>
      <c r="K5" s="42"/>
      <c r="L5" s="42"/>
      <c r="M5" s="43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</row>
    <row r="6" spans="4:59" ht="15" thickBot="1" x14ac:dyDescent="0.35">
      <c r="D6" s="42"/>
      <c r="E6" s="42"/>
      <c r="F6" s="42"/>
      <c r="G6" s="68" t="s">
        <v>27</v>
      </c>
      <c r="H6" s="69">
        <f>EOMONTH(H5,0)</f>
        <v>45961</v>
      </c>
      <c r="I6" s="68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</row>
    <row r="7" spans="4:59" ht="15.6" x14ac:dyDescent="0.3">
      <c r="D7" s="42"/>
      <c r="E7" s="42"/>
      <c r="F7" s="42"/>
      <c r="G7" s="83" t="s">
        <v>29</v>
      </c>
      <c r="H7" s="84"/>
      <c r="I7" s="84"/>
      <c r="J7" s="55" t="s">
        <v>28</v>
      </c>
      <c r="K7" s="55" t="str">
        <f>TEXT(K8,"DDD")</f>
        <v>Wed</v>
      </c>
      <c r="L7" s="55" t="str">
        <f t="shared" ref="L7:AO7" si="0">TEXT(L8,"DDD")</f>
        <v>Thu</v>
      </c>
      <c r="M7" s="55" t="str">
        <f t="shared" si="0"/>
        <v>Fri</v>
      </c>
      <c r="N7" s="55" t="str">
        <f t="shared" si="0"/>
        <v>Sat</v>
      </c>
      <c r="O7" s="55" t="str">
        <f t="shared" si="0"/>
        <v>Sun</v>
      </c>
      <c r="P7" s="55" t="str">
        <f t="shared" si="0"/>
        <v>Mon</v>
      </c>
      <c r="Q7" s="55" t="str">
        <f t="shared" si="0"/>
        <v>Tue</v>
      </c>
      <c r="R7" s="55" t="str">
        <f t="shared" si="0"/>
        <v>Wed</v>
      </c>
      <c r="S7" s="55" t="str">
        <f t="shared" si="0"/>
        <v>Thu</v>
      </c>
      <c r="T7" s="55" t="str">
        <f t="shared" si="0"/>
        <v>Fri</v>
      </c>
      <c r="U7" s="55" t="str">
        <f t="shared" si="0"/>
        <v>Sat</v>
      </c>
      <c r="V7" s="55" t="str">
        <f t="shared" si="0"/>
        <v>Sun</v>
      </c>
      <c r="W7" s="55" t="str">
        <f t="shared" si="0"/>
        <v>Mon</v>
      </c>
      <c r="X7" s="55" t="str">
        <f t="shared" si="0"/>
        <v>Tue</v>
      </c>
      <c r="Y7" s="55" t="str">
        <f t="shared" si="0"/>
        <v>Wed</v>
      </c>
      <c r="Z7" s="55" t="str">
        <f t="shared" si="0"/>
        <v>Thu</v>
      </c>
      <c r="AA7" s="55" t="str">
        <f t="shared" si="0"/>
        <v>Fri</v>
      </c>
      <c r="AB7" s="55" t="str">
        <f t="shared" si="0"/>
        <v>Sat</v>
      </c>
      <c r="AC7" s="55" t="str">
        <f t="shared" si="0"/>
        <v>Sun</v>
      </c>
      <c r="AD7" s="55" t="str">
        <f t="shared" si="0"/>
        <v>Mon</v>
      </c>
      <c r="AE7" s="55" t="str">
        <f t="shared" si="0"/>
        <v>Tue</v>
      </c>
      <c r="AF7" s="55" t="str">
        <f t="shared" si="0"/>
        <v>Wed</v>
      </c>
      <c r="AG7" s="55" t="str">
        <f t="shared" si="0"/>
        <v>Thu</v>
      </c>
      <c r="AH7" s="55" t="str">
        <f t="shared" si="0"/>
        <v>Fri</v>
      </c>
      <c r="AI7" s="55" t="str">
        <f t="shared" si="0"/>
        <v>Sat</v>
      </c>
      <c r="AJ7" s="55" t="str">
        <f t="shared" si="0"/>
        <v>Sun</v>
      </c>
      <c r="AK7" s="55" t="str">
        <f t="shared" si="0"/>
        <v>Mon</v>
      </c>
      <c r="AL7" s="55" t="str">
        <f t="shared" si="0"/>
        <v>Tue</v>
      </c>
      <c r="AM7" s="55" t="str">
        <f t="shared" si="0"/>
        <v>Wed</v>
      </c>
      <c r="AN7" s="55" t="str">
        <f t="shared" si="0"/>
        <v>Thu</v>
      </c>
      <c r="AO7" s="56" t="str">
        <f t="shared" si="0"/>
        <v>Fri</v>
      </c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</row>
    <row r="8" spans="4:59" ht="16.2" thickBot="1" x14ac:dyDescent="0.35">
      <c r="D8" s="42"/>
      <c r="E8" s="42"/>
      <c r="F8" s="42"/>
      <c r="G8" s="57" t="s">
        <v>0</v>
      </c>
      <c r="H8" s="7" t="s">
        <v>23</v>
      </c>
      <c r="I8" s="8" t="s">
        <v>24</v>
      </c>
      <c r="J8" s="45" t="s">
        <v>25</v>
      </c>
      <c r="K8" s="46">
        <f>H5</f>
        <v>45931</v>
      </c>
      <c r="L8" s="46">
        <f>IF(K8&lt;$H$6,K8+1,"")</f>
        <v>45932</v>
      </c>
      <c r="M8" s="46">
        <f t="shared" ref="M8:AO8" si="1">IF(L8&lt;$H$6,L8+1,"")</f>
        <v>45933</v>
      </c>
      <c r="N8" s="46">
        <f t="shared" si="1"/>
        <v>45934</v>
      </c>
      <c r="O8" s="46">
        <f t="shared" si="1"/>
        <v>45935</v>
      </c>
      <c r="P8" s="46">
        <f t="shared" si="1"/>
        <v>45936</v>
      </c>
      <c r="Q8" s="46">
        <f t="shared" si="1"/>
        <v>45937</v>
      </c>
      <c r="R8" s="46">
        <f t="shared" si="1"/>
        <v>45938</v>
      </c>
      <c r="S8" s="46">
        <f t="shared" si="1"/>
        <v>45939</v>
      </c>
      <c r="T8" s="46">
        <f t="shared" si="1"/>
        <v>45940</v>
      </c>
      <c r="U8" s="46">
        <f t="shared" si="1"/>
        <v>45941</v>
      </c>
      <c r="V8" s="46">
        <f t="shared" si="1"/>
        <v>45942</v>
      </c>
      <c r="W8" s="46">
        <f t="shared" si="1"/>
        <v>45943</v>
      </c>
      <c r="X8" s="46">
        <f t="shared" si="1"/>
        <v>45944</v>
      </c>
      <c r="Y8" s="46">
        <f t="shared" si="1"/>
        <v>45945</v>
      </c>
      <c r="Z8" s="46">
        <f t="shared" si="1"/>
        <v>45946</v>
      </c>
      <c r="AA8" s="46">
        <f t="shared" si="1"/>
        <v>45947</v>
      </c>
      <c r="AB8" s="46">
        <f t="shared" si="1"/>
        <v>45948</v>
      </c>
      <c r="AC8" s="46">
        <f>IF(AB8&lt;$H$6,AB8+1,"")</f>
        <v>45949</v>
      </c>
      <c r="AD8" s="46">
        <f t="shared" si="1"/>
        <v>45950</v>
      </c>
      <c r="AE8" s="46">
        <f t="shared" si="1"/>
        <v>45951</v>
      </c>
      <c r="AF8" s="46">
        <f t="shared" si="1"/>
        <v>45952</v>
      </c>
      <c r="AG8" s="46">
        <f t="shared" si="1"/>
        <v>45953</v>
      </c>
      <c r="AH8" s="46">
        <f t="shared" si="1"/>
        <v>45954</v>
      </c>
      <c r="AI8" s="46">
        <f t="shared" si="1"/>
        <v>45955</v>
      </c>
      <c r="AJ8" s="46">
        <f t="shared" si="1"/>
        <v>45956</v>
      </c>
      <c r="AK8" s="46">
        <f t="shared" si="1"/>
        <v>45957</v>
      </c>
      <c r="AL8" s="46">
        <f>IF(AK8&lt;$H$6,AK8+1,"")</f>
        <v>45958</v>
      </c>
      <c r="AM8" s="46">
        <f t="shared" si="1"/>
        <v>45959</v>
      </c>
      <c r="AN8" s="46">
        <f t="shared" si="1"/>
        <v>45960</v>
      </c>
      <c r="AO8" s="58">
        <f t="shared" si="1"/>
        <v>45961</v>
      </c>
      <c r="AP8" s="42"/>
      <c r="AQ8" s="42"/>
      <c r="AR8" s="27" t="s">
        <v>0</v>
      </c>
      <c r="AS8" s="27" t="s">
        <v>23</v>
      </c>
      <c r="AT8" s="27" t="s">
        <v>39</v>
      </c>
      <c r="AU8" s="39" t="s">
        <v>24</v>
      </c>
      <c r="AV8" s="40" t="s">
        <v>30</v>
      </c>
      <c r="AW8" s="41" t="s">
        <v>31</v>
      </c>
      <c r="AX8" s="41" t="s">
        <v>32</v>
      </c>
      <c r="AY8" s="41" t="s">
        <v>33</v>
      </c>
      <c r="AZ8" s="41" t="s">
        <v>28</v>
      </c>
      <c r="BA8" s="41" t="s">
        <v>34</v>
      </c>
      <c r="BB8" s="41" t="s">
        <v>35</v>
      </c>
      <c r="BC8" s="41" t="s">
        <v>36</v>
      </c>
      <c r="BD8" s="41" t="s">
        <v>37</v>
      </c>
      <c r="BE8" s="41" t="s">
        <v>38</v>
      </c>
    </row>
    <row r="9" spans="4:59" ht="15.6" x14ac:dyDescent="0.3">
      <c r="D9" s="42"/>
      <c r="E9" s="42"/>
      <c r="F9" s="42"/>
      <c r="G9" s="59">
        <v>1</v>
      </c>
      <c r="H9" s="10">
        <v>1001</v>
      </c>
      <c r="I9" s="11" t="s">
        <v>3</v>
      </c>
      <c r="J9" s="47">
        <f>COUNTIF($K$7:$AO$7,"sun")</f>
        <v>4</v>
      </c>
      <c r="K9" s="48" t="s">
        <v>43</v>
      </c>
      <c r="L9" s="48" t="s">
        <v>43</v>
      </c>
      <c r="M9" s="48" t="s">
        <v>43</v>
      </c>
      <c r="N9" s="48" t="s">
        <v>43</v>
      </c>
      <c r="O9" s="48" t="str">
        <f t="shared" ref="O9:AJ17" si="2">IF(O$7="sun","WO","")</f>
        <v>WO</v>
      </c>
      <c r="P9" s="48" t="s">
        <v>43</v>
      </c>
      <c r="Q9" s="48" t="s">
        <v>44</v>
      </c>
      <c r="R9" s="48" t="s">
        <v>43</v>
      </c>
      <c r="S9" s="48" t="s">
        <v>43</v>
      </c>
      <c r="T9" s="48" t="s">
        <v>43</v>
      </c>
      <c r="U9" s="48" t="s">
        <v>43</v>
      </c>
      <c r="V9" s="48" t="str">
        <f t="shared" si="2"/>
        <v>WO</v>
      </c>
      <c r="W9" s="48" t="s">
        <v>43</v>
      </c>
      <c r="X9" s="48" t="s">
        <v>41</v>
      </c>
      <c r="Y9" s="48" t="s">
        <v>41</v>
      </c>
      <c r="Z9" s="48" t="s">
        <v>43</v>
      </c>
      <c r="AA9" s="48" t="s">
        <v>43</v>
      </c>
      <c r="AB9" s="48" t="s">
        <v>43</v>
      </c>
      <c r="AC9" s="48" t="str">
        <f t="shared" si="2"/>
        <v>WO</v>
      </c>
      <c r="AD9" s="48" t="s">
        <v>43</v>
      </c>
      <c r="AE9" s="48" t="s">
        <v>43</v>
      </c>
      <c r="AF9" s="48" t="s">
        <v>43</v>
      </c>
      <c r="AG9" s="48" t="s">
        <v>43</v>
      </c>
      <c r="AH9" s="48" t="s">
        <v>43</v>
      </c>
      <c r="AI9" s="48" t="s">
        <v>43</v>
      </c>
      <c r="AJ9" s="48" t="str">
        <f t="shared" si="2"/>
        <v>WO</v>
      </c>
      <c r="AK9" s="48" t="s">
        <v>41</v>
      </c>
      <c r="AL9" s="48" t="s">
        <v>43</v>
      </c>
      <c r="AM9" s="48" t="s">
        <v>43</v>
      </c>
      <c r="AN9" s="48" t="s">
        <v>43</v>
      </c>
      <c r="AO9" s="60" t="s">
        <v>43</v>
      </c>
      <c r="AP9" s="42"/>
      <c r="AQ9" s="42"/>
      <c r="AR9" s="3">
        <v>1</v>
      </c>
      <c r="AS9" s="3">
        <v>1001</v>
      </c>
      <c r="AT9" s="3" t="str">
        <f>$I$5</f>
        <v>October</v>
      </c>
      <c r="AU9" s="36" t="s">
        <v>3</v>
      </c>
      <c r="AV9" s="30">
        <f>COUNTIF($K9:$AO9,"P")</f>
        <v>23</v>
      </c>
      <c r="AW9" s="30">
        <f>COUNTIF($K9:$AO9,"A")</f>
        <v>1</v>
      </c>
      <c r="AX9" s="30">
        <f>COUNTIF($K9:$AO9,"L")</f>
        <v>3</v>
      </c>
      <c r="AY9" s="30">
        <f>$J$9</f>
        <v>4</v>
      </c>
      <c r="AZ9" s="30">
        <f>$I$4</f>
        <v>31</v>
      </c>
      <c r="BA9" s="30">
        <f>AZ9-AW9</f>
        <v>30</v>
      </c>
      <c r="BB9" s="31">
        <v>25000</v>
      </c>
      <c r="BC9" s="32">
        <f>BB9/AZ9</f>
        <v>806.45161290322585</v>
      </c>
      <c r="BD9" s="31">
        <f>BC9*AW9</f>
        <v>806.45161290322585</v>
      </c>
      <c r="BE9" s="31">
        <f>BB9-BD9</f>
        <v>24193.548387096773</v>
      </c>
    </row>
    <row r="10" spans="4:59" ht="15.6" x14ac:dyDescent="0.3">
      <c r="D10" s="42"/>
      <c r="E10" s="42"/>
      <c r="F10" s="42"/>
      <c r="G10" s="59">
        <v>2</v>
      </c>
      <c r="H10" s="10">
        <v>1002</v>
      </c>
      <c r="I10" s="11" t="s">
        <v>4</v>
      </c>
      <c r="J10" s="49">
        <f t="shared" ref="J10:J28" si="3">COUNTIF($K$7:$AO$7,"sun")</f>
        <v>4</v>
      </c>
      <c r="K10" s="2" t="s">
        <v>43</v>
      </c>
      <c r="L10" s="2" t="s">
        <v>43</v>
      </c>
      <c r="M10" s="2" t="s">
        <v>43</v>
      </c>
      <c r="N10" s="2" t="s">
        <v>43</v>
      </c>
      <c r="O10" s="2" t="str">
        <f t="shared" si="2"/>
        <v>WO</v>
      </c>
      <c r="P10" s="2" t="s">
        <v>43</v>
      </c>
      <c r="Q10" s="2" t="s">
        <v>43</v>
      </c>
      <c r="R10" s="2" t="s">
        <v>43</v>
      </c>
      <c r="S10" s="2" t="s">
        <v>43</v>
      </c>
      <c r="T10" s="2" t="s">
        <v>43</v>
      </c>
      <c r="U10" s="2" t="s">
        <v>43</v>
      </c>
      <c r="V10" s="2" t="str">
        <f t="shared" si="2"/>
        <v>WO</v>
      </c>
      <c r="W10" s="2" t="s">
        <v>43</v>
      </c>
      <c r="X10" s="48" t="s">
        <v>41</v>
      </c>
      <c r="Y10" s="48" t="s">
        <v>41</v>
      </c>
      <c r="Z10" s="2" t="s">
        <v>43</v>
      </c>
      <c r="AA10" s="2" t="s">
        <v>43</v>
      </c>
      <c r="AB10" s="2" t="s">
        <v>43</v>
      </c>
      <c r="AC10" s="2" t="str">
        <f t="shared" si="2"/>
        <v>WO</v>
      </c>
      <c r="AD10" s="2" t="s">
        <v>43</v>
      </c>
      <c r="AE10" s="2" t="s">
        <v>43</v>
      </c>
      <c r="AF10" s="2" t="s">
        <v>43</v>
      </c>
      <c r="AG10" s="2" t="s">
        <v>43</v>
      </c>
      <c r="AH10" s="2" t="s">
        <v>43</v>
      </c>
      <c r="AI10" s="2" t="s">
        <v>44</v>
      </c>
      <c r="AJ10" s="2" t="str">
        <f t="shared" si="2"/>
        <v>WO</v>
      </c>
      <c r="AK10" s="48" t="s">
        <v>41</v>
      </c>
      <c r="AL10" s="2" t="s">
        <v>44</v>
      </c>
      <c r="AM10" s="2" t="s">
        <v>43</v>
      </c>
      <c r="AN10" s="2" t="s">
        <v>43</v>
      </c>
      <c r="AO10" s="76" t="s">
        <v>43</v>
      </c>
      <c r="AP10" s="42"/>
      <c r="AQ10" s="42"/>
      <c r="AR10" s="3">
        <v>2</v>
      </c>
      <c r="AS10" s="3">
        <v>1002</v>
      </c>
      <c r="AT10" s="3" t="str">
        <f t="shared" ref="AT10:AT28" si="4">$I$5</f>
        <v>October</v>
      </c>
      <c r="AU10" s="36" t="s">
        <v>4</v>
      </c>
      <c r="AV10">
        <f t="shared" ref="AV10:AV28" si="5">COUNTIF($K10:$AO10,"P")</f>
        <v>22</v>
      </c>
      <c r="AW10">
        <f t="shared" ref="AW10:AW28" si="6">COUNTIF($K10:$AO10,"A")</f>
        <v>2</v>
      </c>
      <c r="AX10">
        <f t="shared" ref="AX10:AX28" si="7">COUNTIF($K10:$AO10,"L")</f>
        <v>3</v>
      </c>
      <c r="AY10">
        <f t="shared" ref="AY10:AY28" si="8">$J$9</f>
        <v>4</v>
      </c>
      <c r="AZ10">
        <f t="shared" ref="AZ10:AZ28" si="9">$I$4</f>
        <v>31</v>
      </c>
      <c r="BA10">
        <f t="shared" ref="BA10:BA28" si="10">AZ10-AW10</f>
        <v>29</v>
      </c>
      <c r="BB10" s="28">
        <v>24000</v>
      </c>
      <c r="BC10" s="29">
        <f t="shared" ref="BC10:BC28" si="11">BB10/AZ10</f>
        <v>774.19354838709683</v>
      </c>
      <c r="BD10" s="28">
        <f t="shared" ref="BD10:BD28" si="12">BC10*AW10</f>
        <v>1548.3870967741937</v>
      </c>
      <c r="BE10" s="28">
        <f t="shared" ref="BE10:BE28" si="13">BB10-BD10</f>
        <v>22451.612903225807</v>
      </c>
    </row>
    <row r="11" spans="4:59" ht="15.6" x14ac:dyDescent="0.3">
      <c r="D11" s="42"/>
      <c r="E11" s="42"/>
      <c r="F11" s="42"/>
      <c r="G11" s="59">
        <v>3</v>
      </c>
      <c r="H11" s="10">
        <v>1003</v>
      </c>
      <c r="I11" s="11" t="s">
        <v>5</v>
      </c>
      <c r="J11" s="49">
        <f t="shared" si="3"/>
        <v>4</v>
      </c>
      <c r="K11" s="2" t="s">
        <v>43</v>
      </c>
      <c r="L11" s="2" t="s">
        <v>43</v>
      </c>
      <c r="M11" s="2" t="s">
        <v>43</v>
      </c>
      <c r="N11" s="2" t="s">
        <v>44</v>
      </c>
      <c r="O11" s="2" t="str">
        <f t="shared" si="2"/>
        <v>WO</v>
      </c>
      <c r="P11" s="2" t="s">
        <v>43</v>
      </c>
      <c r="Q11" s="2" t="s">
        <v>43</v>
      </c>
      <c r="R11" s="2" t="s">
        <v>43</v>
      </c>
      <c r="S11" s="2" t="s">
        <v>43</v>
      </c>
      <c r="T11" s="2" t="s">
        <v>43</v>
      </c>
      <c r="U11" s="2" t="s">
        <v>43</v>
      </c>
      <c r="V11" s="2" t="str">
        <f t="shared" si="2"/>
        <v>WO</v>
      </c>
      <c r="W11" s="2" t="s">
        <v>43</v>
      </c>
      <c r="X11" s="48" t="s">
        <v>41</v>
      </c>
      <c r="Y11" s="48" t="s">
        <v>41</v>
      </c>
      <c r="Z11" s="2" t="s">
        <v>43</v>
      </c>
      <c r="AA11" s="2" t="s">
        <v>43</v>
      </c>
      <c r="AB11" s="2" t="s">
        <v>44</v>
      </c>
      <c r="AC11" s="2" t="str">
        <f t="shared" si="2"/>
        <v>WO</v>
      </c>
      <c r="AD11" s="2" t="s">
        <v>43</v>
      </c>
      <c r="AE11" s="2" t="s">
        <v>43</v>
      </c>
      <c r="AF11" s="2" t="s">
        <v>43</v>
      </c>
      <c r="AG11" s="2" t="s">
        <v>43</v>
      </c>
      <c r="AH11" s="2" t="s">
        <v>43</v>
      </c>
      <c r="AI11" s="2" t="s">
        <v>43</v>
      </c>
      <c r="AJ11" s="2" t="str">
        <f t="shared" si="2"/>
        <v>WO</v>
      </c>
      <c r="AK11" s="48" t="s">
        <v>41</v>
      </c>
      <c r="AL11" s="2" t="s">
        <v>43</v>
      </c>
      <c r="AM11" s="2" t="s">
        <v>43</v>
      </c>
      <c r="AN11" s="2" t="s">
        <v>43</v>
      </c>
      <c r="AO11" s="76" t="s">
        <v>43</v>
      </c>
      <c r="AP11" s="42"/>
      <c r="AQ11" s="42"/>
      <c r="AR11" s="3">
        <v>3</v>
      </c>
      <c r="AS11" s="3">
        <v>1003</v>
      </c>
      <c r="AT11" s="3" t="str">
        <f t="shared" si="4"/>
        <v>October</v>
      </c>
      <c r="AU11" s="36" t="s">
        <v>5</v>
      </c>
      <c r="AV11">
        <f t="shared" si="5"/>
        <v>22</v>
      </c>
      <c r="AW11">
        <f t="shared" si="6"/>
        <v>2</v>
      </c>
      <c r="AX11">
        <f t="shared" si="7"/>
        <v>3</v>
      </c>
      <c r="AY11">
        <f t="shared" si="8"/>
        <v>4</v>
      </c>
      <c r="AZ11">
        <f t="shared" si="9"/>
        <v>31</v>
      </c>
      <c r="BA11">
        <f t="shared" si="10"/>
        <v>29</v>
      </c>
      <c r="BB11" s="28">
        <v>23000</v>
      </c>
      <c r="BC11" s="29">
        <f t="shared" si="11"/>
        <v>741.93548387096769</v>
      </c>
      <c r="BD11" s="28">
        <f t="shared" si="12"/>
        <v>1483.8709677419354</v>
      </c>
      <c r="BE11" s="28">
        <f t="shared" si="13"/>
        <v>21516.129032258064</v>
      </c>
    </row>
    <row r="12" spans="4:59" ht="15.6" x14ac:dyDescent="0.3">
      <c r="D12" s="42"/>
      <c r="E12" s="42"/>
      <c r="F12" s="42"/>
      <c r="G12" s="59">
        <v>4</v>
      </c>
      <c r="H12" s="10">
        <v>1004</v>
      </c>
      <c r="I12" s="11" t="s">
        <v>6</v>
      </c>
      <c r="J12" s="49">
        <f t="shared" si="3"/>
        <v>4</v>
      </c>
      <c r="K12" s="2" t="s">
        <v>43</v>
      </c>
      <c r="L12" s="2" t="s">
        <v>43</v>
      </c>
      <c r="M12" s="2" t="s">
        <v>43</v>
      </c>
      <c r="N12" s="2" t="s">
        <v>43</v>
      </c>
      <c r="O12" s="2" t="str">
        <f t="shared" si="2"/>
        <v>WO</v>
      </c>
      <c r="P12" s="2" t="s">
        <v>43</v>
      </c>
      <c r="Q12" s="2" t="s">
        <v>43</v>
      </c>
      <c r="R12" s="2" t="s">
        <v>43</v>
      </c>
      <c r="S12" s="2" t="s">
        <v>43</v>
      </c>
      <c r="T12" s="2" t="s">
        <v>44</v>
      </c>
      <c r="U12" s="2" t="s">
        <v>43</v>
      </c>
      <c r="V12" s="2" t="str">
        <f t="shared" si="2"/>
        <v>WO</v>
      </c>
      <c r="W12" s="2" t="s">
        <v>43</v>
      </c>
      <c r="X12" s="48" t="s">
        <v>41</v>
      </c>
      <c r="Y12" s="48" t="s">
        <v>41</v>
      </c>
      <c r="Z12" s="2" t="s">
        <v>43</v>
      </c>
      <c r="AA12" s="2" t="s">
        <v>43</v>
      </c>
      <c r="AB12" s="2" t="s">
        <v>43</v>
      </c>
      <c r="AC12" s="2" t="str">
        <f t="shared" si="2"/>
        <v>WO</v>
      </c>
      <c r="AD12" s="2" t="s">
        <v>43</v>
      </c>
      <c r="AE12" s="2" t="s">
        <v>43</v>
      </c>
      <c r="AF12" s="2" t="s">
        <v>43</v>
      </c>
      <c r="AG12" s="2" t="s">
        <v>43</v>
      </c>
      <c r="AH12" s="2" t="s">
        <v>43</v>
      </c>
      <c r="AI12" s="2" t="s">
        <v>43</v>
      </c>
      <c r="AJ12" s="2" t="str">
        <f t="shared" si="2"/>
        <v>WO</v>
      </c>
      <c r="AK12" s="48" t="s">
        <v>41</v>
      </c>
      <c r="AL12" s="2" t="s">
        <v>43</v>
      </c>
      <c r="AM12" s="2" t="s">
        <v>43</v>
      </c>
      <c r="AN12" s="2" t="s">
        <v>43</v>
      </c>
      <c r="AO12" s="76" t="s">
        <v>43</v>
      </c>
      <c r="AP12" s="42"/>
      <c r="AQ12" s="42"/>
      <c r="AR12" s="3">
        <v>4</v>
      </c>
      <c r="AS12" s="3">
        <v>1004</v>
      </c>
      <c r="AT12" s="3" t="str">
        <f t="shared" si="4"/>
        <v>October</v>
      </c>
      <c r="AU12" s="36" t="s">
        <v>6</v>
      </c>
      <c r="AV12">
        <f t="shared" si="5"/>
        <v>23</v>
      </c>
      <c r="AW12">
        <f t="shared" si="6"/>
        <v>1</v>
      </c>
      <c r="AX12">
        <f t="shared" si="7"/>
        <v>3</v>
      </c>
      <c r="AY12">
        <f t="shared" si="8"/>
        <v>4</v>
      </c>
      <c r="AZ12">
        <f t="shared" si="9"/>
        <v>31</v>
      </c>
      <c r="BA12">
        <f t="shared" si="10"/>
        <v>30</v>
      </c>
      <c r="BB12" s="28">
        <v>25000</v>
      </c>
      <c r="BC12" s="29">
        <f t="shared" si="11"/>
        <v>806.45161290322585</v>
      </c>
      <c r="BD12" s="28">
        <f t="shared" si="12"/>
        <v>806.45161290322585</v>
      </c>
      <c r="BE12" s="28">
        <f t="shared" si="13"/>
        <v>24193.548387096773</v>
      </c>
    </row>
    <row r="13" spans="4:59" ht="15.6" x14ac:dyDescent="0.3">
      <c r="D13" s="42"/>
      <c r="E13" s="42"/>
      <c r="F13" s="42"/>
      <c r="G13" s="59">
        <v>5</v>
      </c>
      <c r="H13" s="10">
        <v>1005</v>
      </c>
      <c r="I13" s="11" t="s">
        <v>7</v>
      </c>
      <c r="J13" s="49">
        <f t="shared" si="3"/>
        <v>4</v>
      </c>
      <c r="K13" s="2" t="s">
        <v>43</v>
      </c>
      <c r="L13" s="2" t="s">
        <v>43</v>
      </c>
      <c r="M13" s="2" t="s">
        <v>43</v>
      </c>
      <c r="N13" s="2" t="s">
        <v>43</v>
      </c>
      <c r="O13" s="2" t="str">
        <f t="shared" si="2"/>
        <v>WO</v>
      </c>
      <c r="P13" s="2" t="s">
        <v>43</v>
      </c>
      <c r="Q13" s="2" t="s">
        <v>43</v>
      </c>
      <c r="R13" s="2" t="s">
        <v>43</v>
      </c>
      <c r="S13" s="2" t="s">
        <v>43</v>
      </c>
      <c r="T13" s="2" t="s">
        <v>43</v>
      </c>
      <c r="U13" s="2" t="s">
        <v>43</v>
      </c>
      <c r="V13" s="2" t="str">
        <f t="shared" si="2"/>
        <v>WO</v>
      </c>
      <c r="W13" s="2" t="s">
        <v>43</v>
      </c>
      <c r="X13" s="48" t="s">
        <v>41</v>
      </c>
      <c r="Y13" s="48" t="s">
        <v>41</v>
      </c>
      <c r="Z13" s="2" t="s">
        <v>43</v>
      </c>
      <c r="AA13" s="2" t="s">
        <v>43</v>
      </c>
      <c r="AB13" s="2" t="s">
        <v>43</v>
      </c>
      <c r="AC13" s="2" t="str">
        <f t="shared" si="2"/>
        <v>WO</v>
      </c>
      <c r="AD13" s="2" t="s">
        <v>43</v>
      </c>
      <c r="AE13" s="2" t="s">
        <v>44</v>
      </c>
      <c r="AF13" s="2" t="s">
        <v>43</v>
      </c>
      <c r="AG13" s="2" t="s">
        <v>43</v>
      </c>
      <c r="AH13" s="2" t="s">
        <v>43</v>
      </c>
      <c r="AI13" s="2" t="s">
        <v>43</v>
      </c>
      <c r="AJ13" s="2" t="str">
        <f t="shared" si="2"/>
        <v>WO</v>
      </c>
      <c r="AK13" s="48" t="s">
        <v>41</v>
      </c>
      <c r="AL13" s="2" t="s">
        <v>43</v>
      </c>
      <c r="AM13" s="2" t="s">
        <v>43</v>
      </c>
      <c r="AN13" s="2" t="s">
        <v>43</v>
      </c>
      <c r="AO13" s="76" t="s">
        <v>43</v>
      </c>
      <c r="AP13" s="42"/>
      <c r="AQ13" s="42"/>
      <c r="AR13" s="3">
        <v>5</v>
      </c>
      <c r="AS13" s="3">
        <v>1005</v>
      </c>
      <c r="AT13" s="3" t="str">
        <f t="shared" si="4"/>
        <v>October</v>
      </c>
      <c r="AU13" s="36" t="s">
        <v>7</v>
      </c>
      <c r="AV13">
        <f t="shared" si="5"/>
        <v>23</v>
      </c>
      <c r="AW13">
        <f t="shared" si="6"/>
        <v>1</v>
      </c>
      <c r="AX13">
        <f t="shared" si="7"/>
        <v>3</v>
      </c>
      <c r="AY13">
        <f t="shared" si="8"/>
        <v>4</v>
      </c>
      <c r="AZ13">
        <f t="shared" si="9"/>
        <v>31</v>
      </c>
      <c r="BA13">
        <f t="shared" si="10"/>
        <v>30</v>
      </c>
      <c r="BB13" s="28">
        <v>26000</v>
      </c>
      <c r="BC13" s="29">
        <f t="shared" si="11"/>
        <v>838.70967741935488</v>
      </c>
      <c r="BD13" s="28">
        <f t="shared" si="12"/>
        <v>838.70967741935488</v>
      </c>
      <c r="BE13" s="28">
        <f t="shared" si="13"/>
        <v>25161.290322580644</v>
      </c>
    </row>
    <row r="14" spans="4:59" ht="15.6" x14ac:dyDescent="0.3">
      <c r="D14" s="42"/>
      <c r="E14" s="42"/>
      <c r="F14" s="42"/>
      <c r="G14" s="59">
        <v>6</v>
      </c>
      <c r="H14" s="10">
        <v>1006</v>
      </c>
      <c r="I14" s="11" t="s">
        <v>8</v>
      </c>
      <c r="J14" s="49">
        <f t="shared" si="3"/>
        <v>4</v>
      </c>
      <c r="K14" s="2" t="s">
        <v>43</v>
      </c>
      <c r="L14" s="2" t="s">
        <v>43</v>
      </c>
      <c r="M14" s="2" t="s">
        <v>43</v>
      </c>
      <c r="N14" s="2" t="s">
        <v>43</v>
      </c>
      <c r="O14" s="2" t="str">
        <f t="shared" si="2"/>
        <v>WO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tr">
        <f t="shared" si="2"/>
        <v>WO</v>
      </c>
      <c r="W14" s="2" t="s">
        <v>43</v>
      </c>
      <c r="X14" s="48" t="s">
        <v>41</v>
      </c>
      <c r="Y14" s="48" t="s">
        <v>41</v>
      </c>
      <c r="Z14" s="2" t="s">
        <v>43</v>
      </c>
      <c r="AA14" s="2" t="s">
        <v>43</v>
      </c>
      <c r="AB14" s="2" t="s">
        <v>43</v>
      </c>
      <c r="AC14" s="2" t="str">
        <f t="shared" si="2"/>
        <v>WO</v>
      </c>
      <c r="AD14" s="2" t="s">
        <v>43</v>
      </c>
      <c r="AE14" s="2" t="s">
        <v>43</v>
      </c>
      <c r="AF14" s="2" t="s">
        <v>43</v>
      </c>
      <c r="AG14" s="2" t="s">
        <v>43</v>
      </c>
      <c r="AH14" s="2" t="s">
        <v>43</v>
      </c>
      <c r="AI14" s="2" t="s">
        <v>43</v>
      </c>
      <c r="AJ14" s="2" t="str">
        <f t="shared" si="2"/>
        <v>WO</v>
      </c>
      <c r="AK14" s="48" t="s">
        <v>41</v>
      </c>
      <c r="AL14" s="2" t="s">
        <v>43</v>
      </c>
      <c r="AM14" s="2" t="s">
        <v>44</v>
      </c>
      <c r="AN14" s="2" t="s">
        <v>43</v>
      </c>
      <c r="AO14" s="76" t="s">
        <v>43</v>
      </c>
      <c r="AP14" s="42"/>
      <c r="AQ14" s="42"/>
      <c r="AR14" s="3">
        <v>6</v>
      </c>
      <c r="AS14" s="3">
        <v>1006</v>
      </c>
      <c r="AT14" s="3" t="str">
        <f t="shared" si="4"/>
        <v>October</v>
      </c>
      <c r="AU14" s="36" t="s">
        <v>8</v>
      </c>
      <c r="AV14">
        <f t="shared" si="5"/>
        <v>23</v>
      </c>
      <c r="AW14">
        <f t="shared" si="6"/>
        <v>1</v>
      </c>
      <c r="AX14">
        <f t="shared" si="7"/>
        <v>3</v>
      </c>
      <c r="AY14">
        <f t="shared" si="8"/>
        <v>4</v>
      </c>
      <c r="AZ14">
        <f t="shared" si="9"/>
        <v>31</v>
      </c>
      <c r="BA14">
        <f t="shared" si="10"/>
        <v>30</v>
      </c>
      <c r="BB14" s="28">
        <v>31000</v>
      </c>
      <c r="BC14" s="29">
        <f t="shared" si="11"/>
        <v>1000</v>
      </c>
      <c r="BD14" s="28">
        <f t="shared" si="12"/>
        <v>1000</v>
      </c>
      <c r="BE14" s="28">
        <f t="shared" si="13"/>
        <v>30000</v>
      </c>
    </row>
    <row r="15" spans="4:59" ht="15.6" x14ac:dyDescent="0.3">
      <c r="D15" s="42"/>
      <c r="E15" s="42"/>
      <c r="F15" s="42"/>
      <c r="G15" s="59">
        <v>7</v>
      </c>
      <c r="H15" s="10">
        <v>1007</v>
      </c>
      <c r="I15" s="11" t="s">
        <v>9</v>
      </c>
      <c r="J15" s="49">
        <f t="shared" si="3"/>
        <v>4</v>
      </c>
      <c r="K15" s="2" t="s">
        <v>43</v>
      </c>
      <c r="L15" s="2" t="s">
        <v>44</v>
      </c>
      <c r="M15" s="2" t="s">
        <v>43</v>
      </c>
      <c r="N15" s="2" t="s">
        <v>43</v>
      </c>
      <c r="O15" s="2" t="str">
        <f t="shared" si="2"/>
        <v>WO</v>
      </c>
      <c r="P15" s="2" t="s">
        <v>43</v>
      </c>
      <c r="Q15" s="2" t="s">
        <v>43</v>
      </c>
      <c r="R15" s="2" t="s">
        <v>43</v>
      </c>
      <c r="S15" s="2" t="s">
        <v>43</v>
      </c>
      <c r="T15" s="2" t="s">
        <v>43</v>
      </c>
      <c r="U15" s="2" t="s">
        <v>43</v>
      </c>
      <c r="V15" s="2" t="str">
        <f t="shared" si="2"/>
        <v>WO</v>
      </c>
      <c r="W15" s="2" t="s">
        <v>43</v>
      </c>
      <c r="X15" s="48" t="s">
        <v>41</v>
      </c>
      <c r="Y15" s="48" t="s">
        <v>41</v>
      </c>
      <c r="Z15" s="2" t="s">
        <v>43</v>
      </c>
      <c r="AA15" s="2" t="s">
        <v>43</v>
      </c>
      <c r="AB15" s="2" t="s">
        <v>43</v>
      </c>
      <c r="AC15" s="2" t="str">
        <f t="shared" si="2"/>
        <v>WO</v>
      </c>
      <c r="AD15" s="2" t="s">
        <v>43</v>
      </c>
      <c r="AE15" s="2" t="s">
        <v>43</v>
      </c>
      <c r="AF15" s="2" t="s">
        <v>43</v>
      </c>
      <c r="AG15" s="2" t="s">
        <v>43</v>
      </c>
      <c r="AH15" s="2" t="s">
        <v>43</v>
      </c>
      <c r="AI15" s="2" t="s">
        <v>43</v>
      </c>
      <c r="AJ15" s="2" t="str">
        <f t="shared" si="2"/>
        <v>WO</v>
      </c>
      <c r="AK15" s="48" t="s">
        <v>41</v>
      </c>
      <c r="AL15" s="2" t="s">
        <v>43</v>
      </c>
      <c r="AM15" s="2" t="s">
        <v>43</v>
      </c>
      <c r="AN15" s="2" t="s">
        <v>43</v>
      </c>
      <c r="AO15" s="76" t="s">
        <v>43</v>
      </c>
      <c r="AP15" s="42"/>
      <c r="AQ15" s="42"/>
      <c r="AR15" s="3">
        <v>7</v>
      </c>
      <c r="AS15" s="3">
        <v>1007</v>
      </c>
      <c r="AT15" s="3" t="str">
        <f t="shared" si="4"/>
        <v>October</v>
      </c>
      <c r="AU15" s="36" t="s">
        <v>9</v>
      </c>
      <c r="AV15">
        <f t="shared" si="5"/>
        <v>23</v>
      </c>
      <c r="AW15">
        <f t="shared" si="6"/>
        <v>1</v>
      </c>
      <c r="AX15">
        <f t="shared" si="7"/>
        <v>3</v>
      </c>
      <c r="AY15">
        <f t="shared" si="8"/>
        <v>4</v>
      </c>
      <c r="AZ15">
        <f t="shared" si="9"/>
        <v>31</v>
      </c>
      <c r="BA15">
        <f t="shared" si="10"/>
        <v>30</v>
      </c>
      <c r="BB15" s="28">
        <v>28000</v>
      </c>
      <c r="BC15" s="29">
        <f t="shared" si="11"/>
        <v>903.22580645161293</v>
      </c>
      <c r="BD15" s="28">
        <f t="shared" si="12"/>
        <v>903.22580645161293</v>
      </c>
      <c r="BE15" s="28">
        <f t="shared" si="13"/>
        <v>27096.774193548386</v>
      </c>
    </row>
    <row r="16" spans="4:59" ht="15.6" x14ac:dyDescent="0.3">
      <c r="D16" s="42"/>
      <c r="E16" s="42"/>
      <c r="F16" s="42"/>
      <c r="G16" s="59">
        <v>8</v>
      </c>
      <c r="H16" s="10">
        <v>1008</v>
      </c>
      <c r="I16" s="11" t="s">
        <v>10</v>
      </c>
      <c r="J16" s="49">
        <f t="shared" si="3"/>
        <v>4</v>
      </c>
      <c r="K16" s="2" t="s">
        <v>43</v>
      </c>
      <c r="L16" s="2" t="s">
        <v>43</v>
      </c>
      <c r="M16" s="2" t="s">
        <v>43</v>
      </c>
      <c r="N16" s="2" t="s">
        <v>43</v>
      </c>
      <c r="O16" s="2" t="str">
        <f t="shared" si="2"/>
        <v>WO</v>
      </c>
      <c r="P16" s="2" t="s">
        <v>43</v>
      </c>
      <c r="Q16" s="2" t="s">
        <v>43</v>
      </c>
      <c r="R16" s="2" t="s">
        <v>43</v>
      </c>
      <c r="S16" s="2" t="s">
        <v>43</v>
      </c>
      <c r="T16" s="2" t="s">
        <v>43</v>
      </c>
      <c r="U16" s="2" t="s">
        <v>43</v>
      </c>
      <c r="V16" s="2" t="str">
        <f t="shared" si="2"/>
        <v>WO</v>
      </c>
      <c r="W16" s="2" t="s">
        <v>43</v>
      </c>
      <c r="X16" s="48" t="s">
        <v>41</v>
      </c>
      <c r="Y16" s="48" t="s">
        <v>41</v>
      </c>
      <c r="Z16" s="2" t="s">
        <v>43</v>
      </c>
      <c r="AA16" s="2" t="s">
        <v>43</v>
      </c>
      <c r="AB16" s="2" t="s">
        <v>43</v>
      </c>
      <c r="AC16" s="2" t="str">
        <f t="shared" si="2"/>
        <v>WO</v>
      </c>
      <c r="AD16" s="2" t="s">
        <v>43</v>
      </c>
      <c r="AE16" s="2" t="s">
        <v>43</v>
      </c>
      <c r="AF16" s="2" t="s">
        <v>43</v>
      </c>
      <c r="AG16" s="2" t="s">
        <v>43</v>
      </c>
      <c r="AH16" s="2" t="s">
        <v>43</v>
      </c>
      <c r="AI16" s="2" t="s">
        <v>43</v>
      </c>
      <c r="AJ16" s="2" t="str">
        <f t="shared" si="2"/>
        <v>WO</v>
      </c>
      <c r="AK16" s="48" t="s">
        <v>41</v>
      </c>
      <c r="AL16" s="2" t="s">
        <v>43</v>
      </c>
      <c r="AM16" s="2" t="s">
        <v>43</v>
      </c>
      <c r="AN16" s="2" t="s">
        <v>43</v>
      </c>
      <c r="AO16" s="76" t="s">
        <v>43</v>
      </c>
      <c r="AP16" s="42"/>
      <c r="AQ16" s="42"/>
      <c r="AR16" s="3">
        <v>8</v>
      </c>
      <c r="AS16" s="3">
        <v>1008</v>
      </c>
      <c r="AT16" s="3" t="str">
        <f t="shared" si="4"/>
        <v>October</v>
      </c>
      <c r="AU16" s="36" t="s">
        <v>10</v>
      </c>
      <c r="AV16">
        <f t="shared" si="5"/>
        <v>24</v>
      </c>
      <c r="AW16">
        <f t="shared" si="6"/>
        <v>0</v>
      </c>
      <c r="AX16">
        <f t="shared" si="7"/>
        <v>3</v>
      </c>
      <c r="AY16">
        <f t="shared" si="8"/>
        <v>4</v>
      </c>
      <c r="AZ16">
        <f t="shared" si="9"/>
        <v>31</v>
      </c>
      <c r="BA16">
        <f t="shared" si="10"/>
        <v>31</v>
      </c>
      <c r="BB16" s="28">
        <v>29000</v>
      </c>
      <c r="BC16" s="29">
        <f t="shared" si="11"/>
        <v>935.48387096774195</v>
      </c>
      <c r="BD16" s="28">
        <f t="shared" si="12"/>
        <v>0</v>
      </c>
      <c r="BE16" s="28">
        <f t="shared" si="13"/>
        <v>29000</v>
      </c>
    </row>
    <row r="17" spans="4:59" ht="15.6" x14ac:dyDescent="0.3">
      <c r="D17" s="42"/>
      <c r="E17" s="42"/>
      <c r="F17" s="42"/>
      <c r="G17" s="59">
        <v>9</v>
      </c>
      <c r="H17" s="10">
        <v>1009</v>
      </c>
      <c r="I17" s="11" t="s">
        <v>11</v>
      </c>
      <c r="J17" s="49">
        <f t="shared" si="3"/>
        <v>4</v>
      </c>
      <c r="K17" s="2" t="s">
        <v>43</v>
      </c>
      <c r="L17" s="2" t="s">
        <v>43</v>
      </c>
      <c r="M17" s="2" t="s">
        <v>44</v>
      </c>
      <c r="N17" s="2" t="s">
        <v>43</v>
      </c>
      <c r="O17" s="2" t="str">
        <f t="shared" si="2"/>
        <v>WO</v>
      </c>
      <c r="P17" s="2" t="s">
        <v>43</v>
      </c>
      <c r="Q17" s="2" t="s">
        <v>44</v>
      </c>
      <c r="R17" s="2" t="s">
        <v>43</v>
      </c>
      <c r="S17" s="2" t="s">
        <v>43</v>
      </c>
      <c r="T17" s="2" t="s">
        <v>43</v>
      </c>
      <c r="U17" s="2" t="s">
        <v>43</v>
      </c>
      <c r="V17" s="2" t="str">
        <f t="shared" si="2"/>
        <v>WO</v>
      </c>
      <c r="W17" s="2" t="s">
        <v>43</v>
      </c>
      <c r="X17" s="48" t="s">
        <v>41</v>
      </c>
      <c r="Y17" s="48" t="s">
        <v>41</v>
      </c>
      <c r="Z17" s="2" t="s">
        <v>43</v>
      </c>
      <c r="AA17" s="2" t="s">
        <v>43</v>
      </c>
      <c r="AB17" s="2" t="s">
        <v>43</v>
      </c>
      <c r="AC17" s="2" t="str">
        <f t="shared" ref="AC17:AJ28" si="14">IF(AC$7="sun","WO","")</f>
        <v>WO</v>
      </c>
      <c r="AD17" s="2" t="s">
        <v>43</v>
      </c>
      <c r="AE17" s="2" t="s">
        <v>43</v>
      </c>
      <c r="AF17" s="2" t="s">
        <v>43</v>
      </c>
      <c r="AG17" s="2" t="s">
        <v>43</v>
      </c>
      <c r="AH17" s="2" t="s">
        <v>43</v>
      </c>
      <c r="AI17" s="2" t="s">
        <v>43</v>
      </c>
      <c r="AJ17" s="2" t="str">
        <f t="shared" si="14"/>
        <v>WO</v>
      </c>
      <c r="AK17" s="48" t="s">
        <v>41</v>
      </c>
      <c r="AL17" s="2" t="s">
        <v>43</v>
      </c>
      <c r="AM17" s="2" t="s">
        <v>43</v>
      </c>
      <c r="AN17" s="2" t="s">
        <v>43</v>
      </c>
      <c r="AO17" s="76" t="s">
        <v>43</v>
      </c>
      <c r="AP17" s="42"/>
      <c r="AQ17" s="42"/>
      <c r="AR17" s="3">
        <v>9</v>
      </c>
      <c r="AS17" s="3">
        <v>1009</v>
      </c>
      <c r="AT17" s="3" t="str">
        <f t="shared" si="4"/>
        <v>October</v>
      </c>
      <c r="AU17" s="36" t="s">
        <v>11</v>
      </c>
      <c r="AV17">
        <f t="shared" si="5"/>
        <v>22</v>
      </c>
      <c r="AW17">
        <f t="shared" si="6"/>
        <v>2</v>
      </c>
      <c r="AX17">
        <f t="shared" si="7"/>
        <v>3</v>
      </c>
      <c r="AY17">
        <f t="shared" si="8"/>
        <v>4</v>
      </c>
      <c r="AZ17">
        <f t="shared" si="9"/>
        <v>31</v>
      </c>
      <c r="BA17">
        <f t="shared" si="10"/>
        <v>29</v>
      </c>
      <c r="BB17" s="28">
        <v>32000</v>
      </c>
      <c r="BC17" s="29">
        <f t="shared" si="11"/>
        <v>1032.258064516129</v>
      </c>
      <c r="BD17" s="28">
        <f t="shared" si="12"/>
        <v>2064.516129032258</v>
      </c>
      <c r="BE17" s="28">
        <f t="shared" si="13"/>
        <v>29935.483870967742</v>
      </c>
    </row>
    <row r="18" spans="4:59" ht="15.6" x14ac:dyDescent="0.3">
      <c r="D18" s="42"/>
      <c r="E18" s="42"/>
      <c r="F18" s="42"/>
      <c r="G18" s="59">
        <v>10</v>
      </c>
      <c r="H18" s="10">
        <v>1010</v>
      </c>
      <c r="I18" s="11" t="s">
        <v>12</v>
      </c>
      <c r="J18" s="49">
        <f t="shared" si="3"/>
        <v>4</v>
      </c>
      <c r="K18" s="2" t="s">
        <v>43</v>
      </c>
      <c r="L18" s="2" t="s">
        <v>43</v>
      </c>
      <c r="M18" s="2" t="s">
        <v>43</v>
      </c>
      <c r="N18" s="2" t="s">
        <v>43</v>
      </c>
      <c r="O18" s="2" t="str">
        <f t="shared" ref="O18:V28" si="15">IF(O$7="sun","WO","")</f>
        <v>WO</v>
      </c>
      <c r="P18" s="2" t="s">
        <v>43</v>
      </c>
      <c r="Q18" s="2" t="s">
        <v>43</v>
      </c>
      <c r="R18" s="2" t="s">
        <v>43</v>
      </c>
      <c r="S18" s="2" t="s">
        <v>43</v>
      </c>
      <c r="T18" s="2" t="s">
        <v>43</v>
      </c>
      <c r="U18" s="2" t="s">
        <v>43</v>
      </c>
      <c r="V18" s="2" t="str">
        <f t="shared" si="15"/>
        <v>WO</v>
      </c>
      <c r="W18" s="2" t="s">
        <v>43</v>
      </c>
      <c r="X18" s="48" t="s">
        <v>41</v>
      </c>
      <c r="Y18" s="48" t="s">
        <v>41</v>
      </c>
      <c r="Z18" s="2" t="s">
        <v>43</v>
      </c>
      <c r="AA18" s="2" t="s">
        <v>43</v>
      </c>
      <c r="AB18" s="2" t="s">
        <v>43</v>
      </c>
      <c r="AC18" s="2" t="str">
        <f t="shared" si="14"/>
        <v>WO</v>
      </c>
      <c r="AD18" s="2" t="s">
        <v>43</v>
      </c>
      <c r="AE18" s="2" t="s">
        <v>43</v>
      </c>
      <c r="AF18" s="2" t="s">
        <v>43</v>
      </c>
      <c r="AG18" s="2" t="s">
        <v>43</v>
      </c>
      <c r="AH18" s="2" t="s">
        <v>43</v>
      </c>
      <c r="AI18" s="2" t="s">
        <v>43</v>
      </c>
      <c r="AJ18" s="2" t="str">
        <f t="shared" si="14"/>
        <v>WO</v>
      </c>
      <c r="AK18" s="48" t="s">
        <v>41</v>
      </c>
      <c r="AL18" s="2" t="s">
        <v>43</v>
      </c>
      <c r="AM18" s="2" t="s">
        <v>43</v>
      </c>
      <c r="AN18" s="2" t="s">
        <v>43</v>
      </c>
      <c r="AO18" s="76" t="s">
        <v>43</v>
      </c>
      <c r="AP18" s="42"/>
      <c r="AQ18" s="42"/>
      <c r="AR18" s="3">
        <v>10</v>
      </c>
      <c r="AS18" s="3">
        <v>1010</v>
      </c>
      <c r="AT18" s="3" t="str">
        <f t="shared" si="4"/>
        <v>October</v>
      </c>
      <c r="AU18" s="36" t="s">
        <v>12</v>
      </c>
      <c r="AV18">
        <f t="shared" si="5"/>
        <v>24</v>
      </c>
      <c r="AW18">
        <f t="shared" si="6"/>
        <v>0</v>
      </c>
      <c r="AX18">
        <f t="shared" si="7"/>
        <v>3</v>
      </c>
      <c r="AY18">
        <f t="shared" si="8"/>
        <v>4</v>
      </c>
      <c r="AZ18">
        <f t="shared" si="9"/>
        <v>31</v>
      </c>
      <c r="BA18">
        <f t="shared" si="10"/>
        <v>31</v>
      </c>
      <c r="BB18" s="28">
        <v>35000</v>
      </c>
      <c r="BC18" s="29">
        <f t="shared" si="11"/>
        <v>1129.0322580645161</v>
      </c>
      <c r="BD18" s="28">
        <f t="shared" si="12"/>
        <v>0</v>
      </c>
      <c r="BE18" s="28">
        <f t="shared" si="13"/>
        <v>35000</v>
      </c>
    </row>
    <row r="19" spans="4:59" ht="15.6" x14ac:dyDescent="0.3">
      <c r="D19" s="42"/>
      <c r="E19" s="42"/>
      <c r="F19" s="42"/>
      <c r="G19" s="59">
        <v>11</v>
      </c>
      <c r="H19" s="10">
        <v>1011</v>
      </c>
      <c r="I19" s="11" t="s">
        <v>13</v>
      </c>
      <c r="J19" s="49">
        <f t="shared" si="3"/>
        <v>4</v>
      </c>
      <c r="K19" s="2" t="s">
        <v>43</v>
      </c>
      <c r="L19" s="2" t="s">
        <v>43</v>
      </c>
      <c r="M19" s="2" t="s">
        <v>43</v>
      </c>
      <c r="N19" s="2" t="s">
        <v>43</v>
      </c>
      <c r="O19" s="2" t="str">
        <f t="shared" si="15"/>
        <v>WO</v>
      </c>
      <c r="P19" s="2" t="s">
        <v>43</v>
      </c>
      <c r="Q19" s="2" t="s">
        <v>43</v>
      </c>
      <c r="R19" s="2" t="s">
        <v>43</v>
      </c>
      <c r="S19" s="2" t="s">
        <v>43</v>
      </c>
      <c r="T19" s="2" t="s">
        <v>43</v>
      </c>
      <c r="U19" s="2" t="s">
        <v>43</v>
      </c>
      <c r="V19" s="2" t="str">
        <f t="shared" si="15"/>
        <v>WO</v>
      </c>
      <c r="W19" s="2" t="s">
        <v>43</v>
      </c>
      <c r="X19" s="48" t="s">
        <v>41</v>
      </c>
      <c r="Y19" s="48" t="s">
        <v>41</v>
      </c>
      <c r="Z19" s="2" t="s">
        <v>43</v>
      </c>
      <c r="AA19" s="2" t="s">
        <v>43</v>
      </c>
      <c r="AB19" s="2" t="s">
        <v>43</v>
      </c>
      <c r="AC19" s="2" t="str">
        <f t="shared" si="14"/>
        <v>WO</v>
      </c>
      <c r="AD19" s="2" t="s">
        <v>43</v>
      </c>
      <c r="AE19" s="2" t="s">
        <v>43</v>
      </c>
      <c r="AF19" s="2" t="s">
        <v>43</v>
      </c>
      <c r="AG19" s="2" t="s">
        <v>44</v>
      </c>
      <c r="AH19" s="2" t="s">
        <v>43</v>
      </c>
      <c r="AI19" s="2" t="s">
        <v>43</v>
      </c>
      <c r="AJ19" s="2" t="str">
        <f t="shared" si="14"/>
        <v>WO</v>
      </c>
      <c r="AK19" s="48" t="s">
        <v>41</v>
      </c>
      <c r="AL19" s="2" t="s">
        <v>43</v>
      </c>
      <c r="AM19" s="2" t="s">
        <v>43</v>
      </c>
      <c r="AN19" s="2" t="s">
        <v>44</v>
      </c>
      <c r="AO19" s="76" t="s">
        <v>43</v>
      </c>
      <c r="AP19" s="42"/>
      <c r="AQ19" s="42"/>
      <c r="AR19" s="3">
        <v>11</v>
      </c>
      <c r="AS19" s="3">
        <v>1011</v>
      </c>
      <c r="AT19" s="3" t="str">
        <f t="shared" si="4"/>
        <v>October</v>
      </c>
      <c r="AU19" s="36" t="s">
        <v>13</v>
      </c>
      <c r="AV19">
        <f t="shared" si="5"/>
        <v>22</v>
      </c>
      <c r="AW19">
        <f t="shared" si="6"/>
        <v>2</v>
      </c>
      <c r="AX19">
        <f t="shared" si="7"/>
        <v>3</v>
      </c>
      <c r="AY19">
        <f t="shared" si="8"/>
        <v>4</v>
      </c>
      <c r="AZ19">
        <f t="shared" si="9"/>
        <v>31</v>
      </c>
      <c r="BA19">
        <f t="shared" si="10"/>
        <v>29</v>
      </c>
      <c r="BB19" s="28">
        <v>50000</v>
      </c>
      <c r="BC19" s="29">
        <f t="shared" si="11"/>
        <v>1612.9032258064517</v>
      </c>
      <c r="BD19" s="28">
        <f t="shared" si="12"/>
        <v>3225.8064516129034</v>
      </c>
      <c r="BE19" s="28">
        <f t="shared" si="13"/>
        <v>46774.193548387098</v>
      </c>
    </row>
    <row r="20" spans="4:59" ht="15.6" x14ac:dyDescent="0.3">
      <c r="D20" s="42"/>
      <c r="E20" s="42"/>
      <c r="F20" s="42"/>
      <c r="G20" s="59">
        <v>12</v>
      </c>
      <c r="H20" s="10">
        <v>1012</v>
      </c>
      <c r="I20" s="11" t="s">
        <v>14</v>
      </c>
      <c r="J20" s="49">
        <f t="shared" si="3"/>
        <v>4</v>
      </c>
      <c r="K20" s="2" t="s">
        <v>43</v>
      </c>
      <c r="L20" s="2" t="s">
        <v>43</v>
      </c>
      <c r="M20" s="2" t="s">
        <v>43</v>
      </c>
      <c r="N20" s="2" t="s">
        <v>43</v>
      </c>
      <c r="O20" s="2" t="str">
        <f t="shared" si="15"/>
        <v>WO</v>
      </c>
      <c r="P20" s="2" t="s">
        <v>43</v>
      </c>
      <c r="Q20" s="2" t="s">
        <v>43</v>
      </c>
      <c r="R20" s="2" t="s">
        <v>43</v>
      </c>
      <c r="S20" s="2" t="s">
        <v>43</v>
      </c>
      <c r="T20" s="2" t="s">
        <v>43</v>
      </c>
      <c r="U20" s="2" t="s">
        <v>43</v>
      </c>
      <c r="V20" s="2" t="str">
        <f t="shared" si="15"/>
        <v>WO</v>
      </c>
      <c r="W20" s="2" t="s">
        <v>43</v>
      </c>
      <c r="X20" s="48" t="s">
        <v>41</v>
      </c>
      <c r="Y20" s="48" t="s">
        <v>41</v>
      </c>
      <c r="Z20" s="2" t="s">
        <v>43</v>
      </c>
      <c r="AA20" s="2" t="s">
        <v>43</v>
      </c>
      <c r="AB20" s="2" t="s">
        <v>43</v>
      </c>
      <c r="AC20" s="2" t="str">
        <f t="shared" si="14"/>
        <v>WO</v>
      </c>
      <c r="AD20" s="2" t="s">
        <v>43</v>
      </c>
      <c r="AE20" s="2" t="s">
        <v>43</v>
      </c>
      <c r="AF20" s="2" t="s">
        <v>43</v>
      </c>
      <c r="AG20" s="2" t="s">
        <v>43</v>
      </c>
      <c r="AH20" s="2" t="s">
        <v>43</v>
      </c>
      <c r="AI20" s="2" t="s">
        <v>43</v>
      </c>
      <c r="AJ20" s="2" t="str">
        <f t="shared" si="14"/>
        <v>WO</v>
      </c>
      <c r="AK20" s="48" t="s">
        <v>41</v>
      </c>
      <c r="AL20" s="2" t="s">
        <v>43</v>
      </c>
      <c r="AM20" s="2" t="s">
        <v>43</v>
      </c>
      <c r="AN20" s="2" t="s">
        <v>43</v>
      </c>
      <c r="AO20" s="76" t="s">
        <v>43</v>
      </c>
      <c r="AP20" s="42"/>
      <c r="AQ20" s="42"/>
      <c r="AR20" s="3">
        <v>12</v>
      </c>
      <c r="AS20" s="3">
        <v>1012</v>
      </c>
      <c r="AT20" s="3" t="str">
        <f t="shared" si="4"/>
        <v>October</v>
      </c>
      <c r="AU20" s="36" t="s">
        <v>14</v>
      </c>
      <c r="AV20">
        <f t="shared" si="5"/>
        <v>24</v>
      </c>
      <c r="AW20">
        <f t="shared" si="6"/>
        <v>0</v>
      </c>
      <c r="AX20">
        <f t="shared" si="7"/>
        <v>3</v>
      </c>
      <c r="AY20">
        <f t="shared" si="8"/>
        <v>4</v>
      </c>
      <c r="AZ20">
        <f t="shared" si="9"/>
        <v>31</v>
      </c>
      <c r="BA20">
        <f t="shared" si="10"/>
        <v>31</v>
      </c>
      <c r="BB20" s="28">
        <v>29000</v>
      </c>
      <c r="BC20" s="29">
        <f t="shared" si="11"/>
        <v>935.48387096774195</v>
      </c>
      <c r="BD20" s="28">
        <f t="shared" si="12"/>
        <v>0</v>
      </c>
      <c r="BE20" s="28">
        <f t="shared" si="13"/>
        <v>29000</v>
      </c>
    </row>
    <row r="21" spans="4:59" ht="15.6" x14ac:dyDescent="0.3">
      <c r="D21" s="42"/>
      <c r="E21" s="42"/>
      <c r="F21" s="42"/>
      <c r="G21" s="59">
        <v>13</v>
      </c>
      <c r="H21" s="10">
        <v>1013</v>
      </c>
      <c r="I21" s="11" t="s">
        <v>15</v>
      </c>
      <c r="J21" s="49">
        <f t="shared" si="3"/>
        <v>4</v>
      </c>
      <c r="K21" s="2" t="s">
        <v>43</v>
      </c>
      <c r="L21" s="2" t="s">
        <v>43</v>
      </c>
      <c r="M21" s="2" t="s">
        <v>43</v>
      </c>
      <c r="N21" s="2" t="s">
        <v>43</v>
      </c>
      <c r="O21" s="2" t="str">
        <f t="shared" si="15"/>
        <v>WO</v>
      </c>
      <c r="P21" s="2" t="s">
        <v>43</v>
      </c>
      <c r="Q21" s="2" t="s">
        <v>43</v>
      </c>
      <c r="R21" s="2" t="s">
        <v>43</v>
      </c>
      <c r="S21" s="2" t="s">
        <v>43</v>
      </c>
      <c r="T21" s="2" t="s">
        <v>44</v>
      </c>
      <c r="U21" s="2" t="s">
        <v>43</v>
      </c>
      <c r="V21" s="2" t="str">
        <f t="shared" si="15"/>
        <v>WO</v>
      </c>
      <c r="W21" s="2" t="s">
        <v>43</v>
      </c>
      <c r="X21" s="48" t="s">
        <v>41</v>
      </c>
      <c r="Y21" s="48" t="s">
        <v>41</v>
      </c>
      <c r="Z21" s="2" t="s">
        <v>43</v>
      </c>
      <c r="AA21" s="2" t="s">
        <v>43</v>
      </c>
      <c r="AB21" s="2" t="s">
        <v>43</v>
      </c>
      <c r="AC21" s="2" t="str">
        <f t="shared" si="14"/>
        <v>WO</v>
      </c>
      <c r="AD21" s="2" t="s">
        <v>43</v>
      </c>
      <c r="AE21" s="2" t="s">
        <v>43</v>
      </c>
      <c r="AF21" s="2" t="s">
        <v>43</v>
      </c>
      <c r="AG21" s="2" t="s">
        <v>43</v>
      </c>
      <c r="AH21" s="2" t="s">
        <v>43</v>
      </c>
      <c r="AI21" s="2" t="s">
        <v>43</v>
      </c>
      <c r="AJ21" s="2" t="str">
        <f t="shared" si="14"/>
        <v>WO</v>
      </c>
      <c r="AK21" s="48" t="s">
        <v>41</v>
      </c>
      <c r="AL21" s="2" t="s">
        <v>43</v>
      </c>
      <c r="AM21" s="2" t="s">
        <v>43</v>
      </c>
      <c r="AN21" s="2" t="s">
        <v>43</v>
      </c>
      <c r="AO21" s="76" t="s">
        <v>43</v>
      </c>
      <c r="AP21" s="42"/>
      <c r="AQ21" s="42"/>
      <c r="AR21" s="3">
        <v>13</v>
      </c>
      <c r="AS21" s="3">
        <v>1013</v>
      </c>
      <c r="AT21" s="3" t="str">
        <f t="shared" si="4"/>
        <v>October</v>
      </c>
      <c r="AU21" s="36" t="s">
        <v>15</v>
      </c>
      <c r="AV21">
        <f t="shared" si="5"/>
        <v>23</v>
      </c>
      <c r="AW21">
        <f t="shared" si="6"/>
        <v>1</v>
      </c>
      <c r="AX21">
        <f t="shared" si="7"/>
        <v>3</v>
      </c>
      <c r="AY21">
        <f t="shared" si="8"/>
        <v>4</v>
      </c>
      <c r="AZ21">
        <f t="shared" si="9"/>
        <v>31</v>
      </c>
      <c r="BA21">
        <f t="shared" si="10"/>
        <v>30</v>
      </c>
      <c r="BB21" s="28">
        <v>37000</v>
      </c>
      <c r="BC21" s="29">
        <f t="shared" si="11"/>
        <v>1193.5483870967741</v>
      </c>
      <c r="BD21" s="28">
        <f t="shared" si="12"/>
        <v>1193.5483870967741</v>
      </c>
      <c r="BE21" s="28">
        <f t="shared" si="13"/>
        <v>35806.451612903227</v>
      </c>
    </row>
    <row r="22" spans="4:59" ht="15.6" x14ac:dyDescent="0.3">
      <c r="D22" s="42"/>
      <c r="E22" s="42"/>
      <c r="F22" s="42"/>
      <c r="G22" s="59">
        <v>14</v>
      </c>
      <c r="H22" s="10">
        <v>1014</v>
      </c>
      <c r="I22" s="11" t="s">
        <v>16</v>
      </c>
      <c r="J22" s="49">
        <f t="shared" si="3"/>
        <v>4</v>
      </c>
      <c r="K22" s="2" t="s">
        <v>43</v>
      </c>
      <c r="L22" s="2" t="s">
        <v>43</v>
      </c>
      <c r="M22" s="2" t="s">
        <v>43</v>
      </c>
      <c r="N22" s="2" t="s">
        <v>43</v>
      </c>
      <c r="O22" s="2" t="str">
        <f t="shared" si="15"/>
        <v>WO</v>
      </c>
      <c r="P22" s="2" t="s">
        <v>43</v>
      </c>
      <c r="Q22" s="2" t="s">
        <v>43</v>
      </c>
      <c r="R22" s="2" t="s">
        <v>43</v>
      </c>
      <c r="S22" s="2" t="s">
        <v>43</v>
      </c>
      <c r="T22" s="2" t="s">
        <v>43</v>
      </c>
      <c r="U22" s="2" t="s">
        <v>43</v>
      </c>
      <c r="V22" s="2" t="str">
        <f t="shared" si="15"/>
        <v>WO</v>
      </c>
      <c r="W22" s="2" t="s">
        <v>43</v>
      </c>
      <c r="X22" s="48" t="s">
        <v>41</v>
      </c>
      <c r="Y22" s="48" t="s">
        <v>41</v>
      </c>
      <c r="Z22" s="2" t="s">
        <v>43</v>
      </c>
      <c r="AA22" s="2" t="s">
        <v>43</v>
      </c>
      <c r="AB22" s="2" t="s">
        <v>43</v>
      </c>
      <c r="AC22" s="2" t="str">
        <f t="shared" si="14"/>
        <v>WO</v>
      </c>
      <c r="AD22" s="2" t="s">
        <v>43</v>
      </c>
      <c r="AE22" s="2" t="s">
        <v>43</v>
      </c>
      <c r="AF22" s="2" t="s">
        <v>43</v>
      </c>
      <c r="AG22" s="2" t="s">
        <v>43</v>
      </c>
      <c r="AH22" s="2" t="s">
        <v>43</v>
      </c>
      <c r="AI22" s="2" t="s">
        <v>43</v>
      </c>
      <c r="AJ22" s="2" t="str">
        <f t="shared" si="14"/>
        <v>WO</v>
      </c>
      <c r="AK22" s="48" t="s">
        <v>41</v>
      </c>
      <c r="AL22" s="2" t="s">
        <v>43</v>
      </c>
      <c r="AM22" s="2" t="s">
        <v>43</v>
      </c>
      <c r="AN22" s="2" t="s">
        <v>43</v>
      </c>
      <c r="AO22" s="76" t="s">
        <v>43</v>
      </c>
      <c r="AP22" s="42"/>
      <c r="AQ22" s="42"/>
      <c r="AR22" s="3">
        <v>14</v>
      </c>
      <c r="AS22" s="3">
        <v>1014</v>
      </c>
      <c r="AT22" s="3" t="str">
        <f t="shared" si="4"/>
        <v>October</v>
      </c>
      <c r="AU22" s="36" t="s">
        <v>16</v>
      </c>
      <c r="AV22">
        <f t="shared" si="5"/>
        <v>24</v>
      </c>
      <c r="AW22">
        <f t="shared" si="6"/>
        <v>0</v>
      </c>
      <c r="AX22">
        <f t="shared" si="7"/>
        <v>3</v>
      </c>
      <c r="AY22">
        <f t="shared" si="8"/>
        <v>4</v>
      </c>
      <c r="AZ22">
        <f t="shared" si="9"/>
        <v>31</v>
      </c>
      <c r="BA22">
        <f t="shared" si="10"/>
        <v>31</v>
      </c>
      <c r="BB22" s="28">
        <v>41000</v>
      </c>
      <c r="BC22" s="29">
        <f t="shared" si="11"/>
        <v>1322.5806451612902</v>
      </c>
      <c r="BD22" s="28">
        <f t="shared" si="12"/>
        <v>0</v>
      </c>
      <c r="BE22" s="28">
        <f t="shared" si="13"/>
        <v>41000</v>
      </c>
    </row>
    <row r="23" spans="4:59" ht="15.6" x14ac:dyDescent="0.3">
      <c r="D23" s="42"/>
      <c r="E23" s="42"/>
      <c r="F23" s="42"/>
      <c r="G23" s="59">
        <v>15</v>
      </c>
      <c r="H23" s="10">
        <v>1015</v>
      </c>
      <c r="I23" s="11" t="s">
        <v>17</v>
      </c>
      <c r="J23" s="49">
        <f t="shared" si="3"/>
        <v>4</v>
      </c>
      <c r="K23" s="2" t="s">
        <v>43</v>
      </c>
      <c r="L23" s="2" t="s">
        <v>44</v>
      </c>
      <c r="M23" s="2" t="s">
        <v>43</v>
      </c>
      <c r="N23" s="2" t="s">
        <v>43</v>
      </c>
      <c r="O23" s="2" t="str">
        <f t="shared" si="15"/>
        <v>WO</v>
      </c>
      <c r="P23" s="2" t="s">
        <v>43</v>
      </c>
      <c r="Q23" s="2" t="s">
        <v>43</v>
      </c>
      <c r="R23" s="2" t="s">
        <v>43</v>
      </c>
      <c r="S23" s="2" t="s">
        <v>43</v>
      </c>
      <c r="T23" s="2" t="s">
        <v>43</v>
      </c>
      <c r="U23" s="2" t="s">
        <v>43</v>
      </c>
      <c r="V23" s="2" t="str">
        <f t="shared" si="15"/>
        <v>WO</v>
      </c>
      <c r="W23" s="2" t="s">
        <v>43</v>
      </c>
      <c r="X23" s="48" t="s">
        <v>41</v>
      </c>
      <c r="Y23" s="48" t="s">
        <v>41</v>
      </c>
      <c r="Z23" s="2" t="s">
        <v>43</v>
      </c>
      <c r="AA23" s="2" t="s">
        <v>43</v>
      </c>
      <c r="AB23" s="2" t="s">
        <v>43</v>
      </c>
      <c r="AC23" s="2" t="str">
        <f t="shared" si="14"/>
        <v>WO</v>
      </c>
      <c r="AD23" s="2" t="s">
        <v>43</v>
      </c>
      <c r="AE23" s="2" t="s">
        <v>43</v>
      </c>
      <c r="AF23" s="2" t="s">
        <v>43</v>
      </c>
      <c r="AG23" s="2" t="s">
        <v>43</v>
      </c>
      <c r="AH23" s="2" t="s">
        <v>43</v>
      </c>
      <c r="AI23" s="2" t="s">
        <v>43</v>
      </c>
      <c r="AJ23" s="2" t="str">
        <f t="shared" si="14"/>
        <v>WO</v>
      </c>
      <c r="AK23" s="48" t="s">
        <v>41</v>
      </c>
      <c r="AL23" s="2" t="s">
        <v>43</v>
      </c>
      <c r="AM23" s="2" t="s">
        <v>43</v>
      </c>
      <c r="AN23" s="2" t="s">
        <v>43</v>
      </c>
      <c r="AO23" s="76" t="s">
        <v>43</v>
      </c>
      <c r="AP23" s="42"/>
      <c r="AQ23" s="42"/>
      <c r="AR23" s="3">
        <v>15</v>
      </c>
      <c r="AS23" s="3">
        <v>1015</v>
      </c>
      <c r="AT23" s="3" t="str">
        <f t="shared" si="4"/>
        <v>October</v>
      </c>
      <c r="AU23" s="36" t="s">
        <v>17</v>
      </c>
      <c r="AV23">
        <f t="shared" si="5"/>
        <v>23</v>
      </c>
      <c r="AW23">
        <f t="shared" si="6"/>
        <v>1</v>
      </c>
      <c r="AX23">
        <f t="shared" si="7"/>
        <v>3</v>
      </c>
      <c r="AY23">
        <f t="shared" si="8"/>
        <v>4</v>
      </c>
      <c r="AZ23">
        <f t="shared" si="9"/>
        <v>31</v>
      </c>
      <c r="BA23">
        <f t="shared" si="10"/>
        <v>30</v>
      </c>
      <c r="BB23" s="28">
        <v>45000</v>
      </c>
      <c r="BC23" s="29">
        <f t="shared" si="11"/>
        <v>1451.6129032258063</v>
      </c>
      <c r="BD23" s="28">
        <f t="shared" si="12"/>
        <v>1451.6129032258063</v>
      </c>
      <c r="BE23" s="28">
        <f t="shared" si="13"/>
        <v>43548.387096774197</v>
      </c>
    </row>
    <row r="24" spans="4:59" ht="15.6" x14ac:dyDescent="0.3">
      <c r="D24" s="42"/>
      <c r="E24" s="42"/>
      <c r="F24" s="42"/>
      <c r="G24" s="59">
        <v>16</v>
      </c>
      <c r="H24" s="10">
        <v>1016</v>
      </c>
      <c r="I24" s="11" t="s">
        <v>18</v>
      </c>
      <c r="J24" s="49">
        <f t="shared" si="3"/>
        <v>4</v>
      </c>
      <c r="K24" s="2" t="s">
        <v>43</v>
      </c>
      <c r="L24" s="2" t="s">
        <v>43</v>
      </c>
      <c r="M24" s="2" t="s">
        <v>43</v>
      </c>
      <c r="N24" s="2" t="s">
        <v>43</v>
      </c>
      <c r="O24" s="2" t="str">
        <f t="shared" si="15"/>
        <v>WO</v>
      </c>
      <c r="P24" s="2" t="s">
        <v>43</v>
      </c>
      <c r="Q24" s="2" t="s">
        <v>43</v>
      </c>
      <c r="R24" s="2" t="s">
        <v>43</v>
      </c>
      <c r="S24" s="2" t="s">
        <v>43</v>
      </c>
      <c r="T24" s="2" t="s">
        <v>43</v>
      </c>
      <c r="U24" s="2" t="s">
        <v>43</v>
      </c>
      <c r="V24" s="2" t="str">
        <f t="shared" si="15"/>
        <v>WO</v>
      </c>
      <c r="W24" s="2" t="s">
        <v>43</v>
      </c>
      <c r="X24" s="48" t="s">
        <v>41</v>
      </c>
      <c r="Y24" s="48" t="s">
        <v>41</v>
      </c>
      <c r="Z24" s="2" t="s">
        <v>43</v>
      </c>
      <c r="AA24" s="2" t="s">
        <v>43</v>
      </c>
      <c r="AB24" s="2" t="s">
        <v>43</v>
      </c>
      <c r="AC24" s="2" t="str">
        <f t="shared" si="14"/>
        <v>WO</v>
      </c>
      <c r="AD24" s="2" t="s">
        <v>43</v>
      </c>
      <c r="AE24" s="2" t="s">
        <v>43</v>
      </c>
      <c r="AF24" s="2" t="s">
        <v>43</v>
      </c>
      <c r="AG24" s="2" t="s">
        <v>43</v>
      </c>
      <c r="AH24" s="2" t="s">
        <v>43</v>
      </c>
      <c r="AI24" s="2" t="s">
        <v>43</v>
      </c>
      <c r="AJ24" s="2" t="str">
        <f t="shared" si="14"/>
        <v>WO</v>
      </c>
      <c r="AK24" s="48" t="s">
        <v>41</v>
      </c>
      <c r="AL24" s="2" t="s">
        <v>43</v>
      </c>
      <c r="AM24" s="2" t="s">
        <v>43</v>
      </c>
      <c r="AN24" s="2" t="s">
        <v>43</v>
      </c>
      <c r="AO24" s="76" t="s">
        <v>43</v>
      </c>
      <c r="AP24" s="42"/>
      <c r="AQ24" s="42"/>
      <c r="AR24" s="3">
        <v>16</v>
      </c>
      <c r="AS24" s="3">
        <v>1016</v>
      </c>
      <c r="AT24" s="3" t="str">
        <f t="shared" si="4"/>
        <v>October</v>
      </c>
      <c r="AU24" s="36" t="s">
        <v>18</v>
      </c>
      <c r="AV24">
        <f t="shared" si="5"/>
        <v>24</v>
      </c>
      <c r="AW24">
        <f t="shared" si="6"/>
        <v>0</v>
      </c>
      <c r="AX24">
        <f t="shared" si="7"/>
        <v>3</v>
      </c>
      <c r="AY24">
        <f t="shared" si="8"/>
        <v>4</v>
      </c>
      <c r="AZ24">
        <f t="shared" si="9"/>
        <v>31</v>
      </c>
      <c r="BA24">
        <f t="shared" si="10"/>
        <v>31</v>
      </c>
      <c r="BB24" s="28">
        <v>21000</v>
      </c>
      <c r="BC24" s="29">
        <f t="shared" si="11"/>
        <v>677.41935483870964</v>
      </c>
      <c r="BD24" s="28">
        <f t="shared" si="12"/>
        <v>0</v>
      </c>
      <c r="BE24" s="28">
        <f t="shared" si="13"/>
        <v>21000</v>
      </c>
    </row>
    <row r="25" spans="4:59" ht="15.6" x14ac:dyDescent="0.3">
      <c r="D25" s="42"/>
      <c r="E25" s="42"/>
      <c r="F25" s="42"/>
      <c r="G25" s="59">
        <v>17</v>
      </c>
      <c r="H25" s="10">
        <v>1017</v>
      </c>
      <c r="I25" s="11" t="s">
        <v>19</v>
      </c>
      <c r="J25" s="49">
        <f t="shared" si="3"/>
        <v>4</v>
      </c>
      <c r="K25" s="2" t="s">
        <v>43</v>
      </c>
      <c r="L25" s="2" t="s">
        <v>43</v>
      </c>
      <c r="M25" s="2" t="s">
        <v>43</v>
      </c>
      <c r="N25" s="2" t="s">
        <v>43</v>
      </c>
      <c r="O25" s="2" t="str">
        <f t="shared" si="15"/>
        <v>WO</v>
      </c>
      <c r="P25" s="2" t="s">
        <v>44</v>
      </c>
      <c r="Q25" s="2" t="s">
        <v>43</v>
      </c>
      <c r="R25" s="2" t="s">
        <v>43</v>
      </c>
      <c r="S25" s="2" t="s">
        <v>43</v>
      </c>
      <c r="T25" s="2" t="s">
        <v>43</v>
      </c>
      <c r="U25" s="2" t="s">
        <v>43</v>
      </c>
      <c r="V25" s="2" t="str">
        <f t="shared" si="15"/>
        <v>WO</v>
      </c>
      <c r="W25" s="2" t="s">
        <v>43</v>
      </c>
      <c r="X25" s="48" t="s">
        <v>41</v>
      </c>
      <c r="Y25" s="48" t="s">
        <v>41</v>
      </c>
      <c r="Z25" s="2" t="s">
        <v>43</v>
      </c>
      <c r="AA25" s="2" t="s">
        <v>43</v>
      </c>
      <c r="AB25" s="2" t="s">
        <v>43</v>
      </c>
      <c r="AC25" s="2" t="str">
        <f t="shared" si="14"/>
        <v>WO</v>
      </c>
      <c r="AD25" s="2" t="s">
        <v>43</v>
      </c>
      <c r="AE25" s="2" t="s">
        <v>43</v>
      </c>
      <c r="AF25" s="2" t="s">
        <v>43</v>
      </c>
      <c r="AG25" s="2" t="s">
        <v>43</v>
      </c>
      <c r="AH25" s="2" t="s">
        <v>43</v>
      </c>
      <c r="AI25" s="2" t="s">
        <v>43</v>
      </c>
      <c r="AJ25" s="2" t="str">
        <f t="shared" si="14"/>
        <v>WO</v>
      </c>
      <c r="AK25" s="48" t="s">
        <v>41</v>
      </c>
      <c r="AL25" s="2" t="s">
        <v>43</v>
      </c>
      <c r="AM25" s="2" t="s">
        <v>43</v>
      </c>
      <c r="AN25" s="2" t="s">
        <v>43</v>
      </c>
      <c r="AO25" s="76" t="s">
        <v>43</v>
      </c>
      <c r="AP25" s="42"/>
      <c r="AQ25" s="42"/>
      <c r="AR25" s="3">
        <v>17</v>
      </c>
      <c r="AS25" s="3">
        <v>1017</v>
      </c>
      <c r="AT25" s="3" t="str">
        <f t="shared" si="4"/>
        <v>October</v>
      </c>
      <c r="AU25" s="36" t="s">
        <v>19</v>
      </c>
      <c r="AV25">
        <f t="shared" si="5"/>
        <v>23</v>
      </c>
      <c r="AW25">
        <f t="shared" si="6"/>
        <v>1</v>
      </c>
      <c r="AX25">
        <f t="shared" si="7"/>
        <v>3</v>
      </c>
      <c r="AY25">
        <f t="shared" si="8"/>
        <v>4</v>
      </c>
      <c r="AZ25">
        <f t="shared" si="9"/>
        <v>31</v>
      </c>
      <c r="BA25">
        <f t="shared" si="10"/>
        <v>30</v>
      </c>
      <c r="BB25" s="28">
        <v>26000</v>
      </c>
      <c r="BC25" s="29">
        <f t="shared" si="11"/>
        <v>838.70967741935488</v>
      </c>
      <c r="BD25" s="28">
        <f t="shared" si="12"/>
        <v>838.70967741935488</v>
      </c>
      <c r="BE25" s="28">
        <f t="shared" si="13"/>
        <v>25161.290322580644</v>
      </c>
    </row>
    <row r="26" spans="4:59" ht="15.6" x14ac:dyDescent="0.3">
      <c r="D26" s="42"/>
      <c r="E26" s="42"/>
      <c r="F26" s="42"/>
      <c r="G26" s="59">
        <v>18</v>
      </c>
      <c r="H26" s="10">
        <v>1018</v>
      </c>
      <c r="I26" s="11" t="s">
        <v>20</v>
      </c>
      <c r="J26" s="49">
        <f t="shared" si="3"/>
        <v>4</v>
      </c>
      <c r="K26" s="2" t="s">
        <v>43</v>
      </c>
      <c r="L26" s="2" t="s">
        <v>43</v>
      </c>
      <c r="M26" s="2" t="s">
        <v>43</v>
      </c>
      <c r="N26" s="2" t="s">
        <v>43</v>
      </c>
      <c r="O26" s="2" t="str">
        <f t="shared" si="15"/>
        <v>WO</v>
      </c>
      <c r="P26" s="2" t="s">
        <v>43</v>
      </c>
      <c r="Q26" s="2" t="s">
        <v>43</v>
      </c>
      <c r="R26" s="2" t="s">
        <v>43</v>
      </c>
      <c r="S26" s="2" t="s">
        <v>43</v>
      </c>
      <c r="T26" s="2" t="s">
        <v>43</v>
      </c>
      <c r="U26" s="2" t="s">
        <v>43</v>
      </c>
      <c r="V26" s="2" t="str">
        <f t="shared" si="15"/>
        <v>WO</v>
      </c>
      <c r="W26" s="2" t="s">
        <v>43</v>
      </c>
      <c r="X26" s="48" t="s">
        <v>41</v>
      </c>
      <c r="Y26" s="48" t="s">
        <v>41</v>
      </c>
      <c r="Z26" s="2" t="s">
        <v>43</v>
      </c>
      <c r="AA26" s="2" t="s">
        <v>43</v>
      </c>
      <c r="AB26" s="2" t="s">
        <v>43</v>
      </c>
      <c r="AC26" s="2" t="str">
        <f t="shared" si="14"/>
        <v>WO</v>
      </c>
      <c r="AD26" s="2" t="s">
        <v>43</v>
      </c>
      <c r="AE26" s="2" t="s">
        <v>43</v>
      </c>
      <c r="AF26" s="2" t="s">
        <v>43</v>
      </c>
      <c r="AG26" s="2" t="s">
        <v>43</v>
      </c>
      <c r="AH26" s="2" t="s">
        <v>43</v>
      </c>
      <c r="AI26" s="2" t="s">
        <v>43</v>
      </c>
      <c r="AJ26" s="2" t="str">
        <f t="shared" si="14"/>
        <v>WO</v>
      </c>
      <c r="AK26" s="48" t="s">
        <v>41</v>
      </c>
      <c r="AL26" s="2" t="s">
        <v>44</v>
      </c>
      <c r="AM26" s="2" t="s">
        <v>43</v>
      </c>
      <c r="AN26" s="2" t="s">
        <v>43</v>
      </c>
      <c r="AO26" s="76" t="s">
        <v>43</v>
      </c>
      <c r="AP26" s="42"/>
      <c r="AQ26" s="42"/>
      <c r="AR26" s="3">
        <v>18</v>
      </c>
      <c r="AS26" s="3">
        <v>1018</v>
      </c>
      <c r="AT26" s="3" t="str">
        <f t="shared" si="4"/>
        <v>October</v>
      </c>
      <c r="AU26" s="36" t="s">
        <v>20</v>
      </c>
      <c r="AV26">
        <f t="shared" si="5"/>
        <v>23</v>
      </c>
      <c r="AW26">
        <f t="shared" si="6"/>
        <v>1</v>
      </c>
      <c r="AX26">
        <f t="shared" si="7"/>
        <v>3</v>
      </c>
      <c r="AY26">
        <f t="shared" si="8"/>
        <v>4</v>
      </c>
      <c r="AZ26">
        <f t="shared" si="9"/>
        <v>31</v>
      </c>
      <c r="BA26">
        <f t="shared" si="10"/>
        <v>30</v>
      </c>
      <c r="BB26" s="28">
        <v>35000</v>
      </c>
      <c r="BC26" s="29">
        <f t="shared" si="11"/>
        <v>1129.0322580645161</v>
      </c>
      <c r="BD26" s="28">
        <f t="shared" si="12"/>
        <v>1129.0322580645161</v>
      </c>
      <c r="BE26" s="28">
        <f t="shared" si="13"/>
        <v>33870.967741935485</v>
      </c>
    </row>
    <row r="27" spans="4:59" ht="15.6" x14ac:dyDescent="0.3">
      <c r="D27" s="42"/>
      <c r="E27" s="42"/>
      <c r="F27" s="42"/>
      <c r="G27" s="59">
        <v>19</v>
      </c>
      <c r="H27" s="10">
        <v>1019</v>
      </c>
      <c r="I27" s="11" t="s">
        <v>21</v>
      </c>
      <c r="J27" s="49">
        <f t="shared" si="3"/>
        <v>4</v>
      </c>
      <c r="K27" s="2" t="s">
        <v>43</v>
      </c>
      <c r="L27" s="2" t="s">
        <v>43</v>
      </c>
      <c r="M27" s="2" t="s">
        <v>44</v>
      </c>
      <c r="N27" s="2" t="s">
        <v>43</v>
      </c>
      <c r="O27" s="2" t="str">
        <f t="shared" si="15"/>
        <v>WO</v>
      </c>
      <c r="P27" s="2" t="s">
        <v>43</v>
      </c>
      <c r="Q27" s="2" t="s">
        <v>43</v>
      </c>
      <c r="R27" s="2" t="s">
        <v>43</v>
      </c>
      <c r="S27" s="2" t="s">
        <v>43</v>
      </c>
      <c r="T27" s="2" t="s">
        <v>43</v>
      </c>
      <c r="U27" s="2" t="s">
        <v>43</v>
      </c>
      <c r="V27" s="2" t="str">
        <f t="shared" si="15"/>
        <v>WO</v>
      </c>
      <c r="W27" s="2" t="s">
        <v>43</v>
      </c>
      <c r="X27" s="48" t="s">
        <v>41</v>
      </c>
      <c r="Y27" s="48" t="s">
        <v>41</v>
      </c>
      <c r="Z27" s="2" t="s">
        <v>43</v>
      </c>
      <c r="AA27" s="2" t="s">
        <v>43</v>
      </c>
      <c r="AB27" s="2" t="s">
        <v>43</v>
      </c>
      <c r="AC27" s="2" t="str">
        <f t="shared" si="14"/>
        <v>WO</v>
      </c>
      <c r="AD27" s="2" t="s">
        <v>43</v>
      </c>
      <c r="AE27" s="2" t="s">
        <v>44</v>
      </c>
      <c r="AF27" s="2" t="s">
        <v>43</v>
      </c>
      <c r="AG27" s="2" t="s">
        <v>43</v>
      </c>
      <c r="AH27" s="2" t="s">
        <v>43</v>
      </c>
      <c r="AI27" s="2" t="s">
        <v>43</v>
      </c>
      <c r="AJ27" s="2" t="str">
        <f t="shared" si="14"/>
        <v>WO</v>
      </c>
      <c r="AK27" s="48" t="s">
        <v>41</v>
      </c>
      <c r="AL27" s="2" t="s">
        <v>43</v>
      </c>
      <c r="AM27" s="2" t="s">
        <v>43</v>
      </c>
      <c r="AN27" s="2" t="s">
        <v>43</v>
      </c>
      <c r="AO27" s="76" t="s">
        <v>43</v>
      </c>
      <c r="AP27" s="42"/>
      <c r="AQ27" s="42"/>
      <c r="AR27" s="3">
        <v>19</v>
      </c>
      <c r="AS27" s="3">
        <v>1019</v>
      </c>
      <c r="AT27" s="3" t="str">
        <f t="shared" si="4"/>
        <v>October</v>
      </c>
      <c r="AU27" s="36" t="s">
        <v>21</v>
      </c>
      <c r="AV27">
        <f t="shared" si="5"/>
        <v>22</v>
      </c>
      <c r="AW27">
        <f t="shared" si="6"/>
        <v>2</v>
      </c>
      <c r="AX27">
        <f t="shared" si="7"/>
        <v>3</v>
      </c>
      <c r="AY27">
        <f t="shared" si="8"/>
        <v>4</v>
      </c>
      <c r="AZ27">
        <f t="shared" si="9"/>
        <v>31</v>
      </c>
      <c r="BA27">
        <f t="shared" si="10"/>
        <v>29</v>
      </c>
      <c r="BB27" s="28">
        <v>55000</v>
      </c>
      <c r="BC27" s="29">
        <f t="shared" si="11"/>
        <v>1774.1935483870968</v>
      </c>
      <c r="BD27" s="28">
        <f t="shared" si="12"/>
        <v>3548.3870967741937</v>
      </c>
      <c r="BE27" s="28">
        <f t="shared" si="13"/>
        <v>51451.612903225803</v>
      </c>
    </row>
    <row r="28" spans="4:59" ht="16.2" thickBot="1" x14ac:dyDescent="0.35">
      <c r="D28" s="42"/>
      <c r="E28" s="42"/>
      <c r="F28" s="42"/>
      <c r="G28" s="61">
        <v>20</v>
      </c>
      <c r="H28" s="62">
        <v>1020</v>
      </c>
      <c r="I28" s="63" t="s">
        <v>22</v>
      </c>
      <c r="J28" s="64">
        <f t="shared" si="3"/>
        <v>4</v>
      </c>
      <c r="K28" s="66" t="s">
        <v>43</v>
      </c>
      <c r="L28" s="66" t="s">
        <v>43</v>
      </c>
      <c r="M28" s="66" t="s">
        <v>43</v>
      </c>
      <c r="N28" s="66" t="s">
        <v>43</v>
      </c>
      <c r="O28" s="66" t="str">
        <f t="shared" si="15"/>
        <v>WO</v>
      </c>
      <c r="P28" s="66" t="s">
        <v>43</v>
      </c>
      <c r="Q28" s="66" t="s">
        <v>43</v>
      </c>
      <c r="R28" s="66" t="s">
        <v>43</v>
      </c>
      <c r="S28" s="66" t="s">
        <v>43</v>
      </c>
      <c r="T28" s="66" t="s">
        <v>43</v>
      </c>
      <c r="U28" s="66" t="s">
        <v>43</v>
      </c>
      <c r="V28" s="66" t="str">
        <f t="shared" si="15"/>
        <v>WO</v>
      </c>
      <c r="W28" s="66" t="s">
        <v>43</v>
      </c>
      <c r="X28" s="65" t="s">
        <v>41</v>
      </c>
      <c r="Y28" s="65" t="s">
        <v>41</v>
      </c>
      <c r="Z28" s="66" t="s">
        <v>43</v>
      </c>
      <c r="AA28" s="66" t="s">
        <v>43</v>
      </c>
      <c r="AB28" s="66" t="s">
        <v>43</v>
      </c>
      <c r="AC28" s="66" t="str">
        <f t="shared" si="14"/>
        <v>WO</v>
      </c>
      <c r="AD28" s="66" t="s">
        <v>43</v>
      </c>
      <c r="AE28" s="66" t="s">
        <v>43</v>
      </c>
      <c r="AF28" s="66" t="s">
        <v>43</v>
      </c>
      <c r="AG28" s="66" t="s">
        <v>43</v>
      </c>
      <c r="AH28" s="66" t="s">
        <v>43</v>
      </c>
      <c r="AI28" s="66" t="s">
        <v>43</v>
      </c>
      <c r="AJ28" s="66" t="str">
        <f t="shared" si="14"/>
        <v>WO</v>
      </c>
      <c r="AK28" s="65" t="s">
        <v>41</v>
      </c>
      <c r="AL28" s="66" t="s">
        <v>43</v>
      </c>
      <c r="AM28" s="66" t="s">
        <v>43</v>
      </c>
      <c r="AN28" s="66" t="s">
        <v>43</v>
      </c>
      <c r="AO28" s="77" t="s">
        <v>43</v>
      </c>
      <c r="AP28" s="42"/>
      <c r="AQ28" s="42"/>
      <c r="AR28" s="37">
        <v>20</v>
      </c>
      <c r="AS28" s="37">
        <v>1020</v>
      </c>
      <c r="AT28" s="37" t="str">
        <f t="shared" si="4"/>
        <v>October</v>
      </c>
      <c r="AU28" s="38" t="s">
        <v>22</v>
      </c>
      <c r="AV28" s="33">
        <f t="shared" si="5"/>
        <v>24</v>
      </c>
      <c r="AW28" s="33">
        <f t="shared" si="6"/>
        <v>0</v>
      </c>
      <c r="AX28" s="33">
        <f t="shared" si="7"/>
        <v>3</v>
      </c>
      <c r="AY28" s="33">
        <f t="shared" si="8"/>
        <v>4</v>
      </c>
      <c r="AZ28" s="33">
        <f t="shared" si="9"/>
        <v>31</v>
      </c>
      <c r="BA28" s="33">
        <f t="shared" si="10"/>
        <v>31</v>
      </c>
      <c r="BB28" s="34">
        <v>44000</v>
      </c>
      <c r="BC28" s="35">
        <f t="shared" si="11"/>
        <v>1419.3548387096773</v>
      </c>
      <c r="BD28" s="34">
        <f t="shared" si="12"/>
        <v>0</v>
      </c>
      <c r="BE28" s="34">
        <f t="shared" si="13"/>
        <v>44000</v>
      </c>
    </row>
    <row r="29" spans="4:59" x14ac:dyDescent="0.3"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</row>
    <row r="30" spans="4:59" x14ac:dyDescent="0.3"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</row>
    <row r="31" spans="4:59" x14ac:dyDescent="0.3"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</row>
    <row r="32" spans="4:59" x14ac:dyDescent="0.3"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</row>
    <row r="33" spans="4:59" x14ac:dyDescent="0.3"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</row>
    <row r="34" spans="4:59" x14ac:dyDescent="0.3"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4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</row>
    <row r="35" spans="4:59" x14ac:dyDescent="0.3"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</row>
    <row r="36" spans="4:59" x14ac:dyDescent="0.3"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</row>
    <row r="37" spans="4:59" x14ac:dyDescent="0.3"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</row>
    <row r="38" spans="4:59" x14ac:dyDescent="0.3"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</row>
    <row r="39" spans="4:59" x14ac:dyDescent="0.3"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</row>
    <row r="40" spans="4:59" x14ac:dyDescent="0.3"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</row>
    <row r="41" spans="4:59" x14ac:dyDescent="0.3"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</row>
    <row r="42" spans="4:59" x14ac:dyDescent="0.3"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</row>
    <row r="43" spans="4:59" x14ac:dyDescent="0.3"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</row>
    <row r="44" spans="4:59" x14ac:dyDescent="0.3"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</row>
  </sheetData>
  <mergeCells count="1">
    <mergeCell ref="G7:I7"/>
  </mergeCells>
  <conditionalFormatting sqref="K9:AO28">
    <cfRule type="containsText" dxfId="11" priority="1" operator="containsText" text="L">
      <formula>NOT(ISERROR(SEARCH("L",K9)))</formula>
    </cfRule>
    <cfRule type="containsText" dxfId="10" priority="2" operator="containsText" text="A">
      <formula>NOT(ISERROR(SEARCH("A",K9)))</formula>
    </cfRule>
    <cfRule type="containsText" dxfId="9" priority="3" operator="containsText" text="P">
      <formula>NOT(ISERROR(SEARCH("P",K9)))</formula>
    </cfRule>
    <cfRule type="containsText" dxfId="8" priority="4" operator="containsText" text="WO">
      <formula>NOT(ISERROR(SEARCH("WO",K9)))</formula>
    </cfRule>
  </conditionalFormatting>
  <dataValidations count="1">
    <dataValidation type="list" allowBlank="1" showInputMessage="1" showErrorMessage="1" sqref="K9:N28 P9:U28 W9:AB28 AD9:AI28 AK9:AO28" xr:uid="{374EBF97-95B4-4C23-A8A2-0A8160A3F270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FD2821-5B7E-45E8-90C1-3A8D381776E1}">
          <x14:formula1>
            <xm:f>Rough!$A$1:$A$12</xm:f>
          </x14:formula1>
          <xm:sqref>H5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3FEC-F432-463C-A69C-DDBD51A05DB3}">
  <dimension ref="D1:BG44"/>
  <sheetViews>
    <sheetView topLeftCell="AA1" zoomScaleNormal="100" workbookViewId="0">
      <selection activeCell="AS14" sqref="AS14"/>
    </sheetView>
  </sheetViews>
  <sheetFormatPr defaultRowHeight="14.4" x14ac:dyDescent="0.3"/>
  <cols>
    <col min="7" max="7" width="9.6640625" customWidth="1"/>
    <col min="8" max="8" width="14.88671875" customWidth="1"/>
    <col min="9" max="9" width="20.21875" customWidth="1"/>
    <col min="10" max="10" width="9.88671875" bestFit="1" customWidth="1"/>
    <col min="11" max="11" width="4.33203125" bestFit="1" customWidth="1"/>
    <col min="12" max="12" width="5" bestFit="1" customWidth="1"/>
    <col min="13" max="13" width="5.33203125" bestFit="1" customWidth="1"/>
    <col min="14" max="14" width="4.77734375" bestFit="1" customWidth="1"/>
    <col min="15" max="15" width="5.44140625" bestFit="1" customWidth="1"/>
    <col min="16" max="16" width="5" bestFit="1" customWidth="1"/>
    <col min="17" max="17" width="4.109375" bestFit="1" customWidth="1"/>
    <col min="18" max="18" width="4.33203125" bestFit="1" customWidth="1"/>
    <col min="19" max="19" width="5" bestFit="1" customWidth="1"/>
    <col min="20" max="20" width="5.33203125" bestFit="1" customWidth="1"/>
    <col min="21" max="21" width="4.77734375" bestFit="1" customWidth="1"/>
    <col min="22" max="22" width="5.44140625" bestFit="1" customWidth="1"/>
    <col min="23" max="23" width="5" bestFit="1" customWidth="1"/>
    <col min="24" max="24" width="4.109375" bestFit="1" customWidth="1"/>
    <col min="25" max="25" width="4.33203125" bestFit="1" customWidth="1"/>
    <col min="26" max="26" width="5" bestFit="1" customWidth="1"/>
    <col min="27" max="27" width="5.33203125" bestFit="1" customWidth="1"/>
    <col min="28" max="28" width="4.77734375" bestFit="1" customWidth="1"/>
    <col min="29" max="29" width="5.44140625" bestFit="1" customWidth="1"/>
    <col min="30" max="30" width="5" bestFit="1" customWidth="1"/>
    <col min="31" max="31" width="4.109375" bestFit="1" customWidth="1"/>
    <col min="32" max="32" width="4.33203125" bestFit="1" customWidth="1"/>
    <col min="33" max="33" width="5" bestFit="1" customWidth="1"/>
    <col min="34" max="34" width="5.33203125" bestFit="1" customWidth="1"/>
    <col min="35" max="35" width="4.77734375" bestFit="1" customWidth="1"/>
    <col min="36" max="36" width="5.44140625" bestFit="1" customWidth="1"/>
    <col min="37" max="37" width="5" bestFit="1" customWidth="1"/>
    <col min="38" max="38" width="4.109375" bestFit="1" customWidth="1"/>
    <col min="39" max="39" width="4.33203125" bestFit="1" customWidth="1"/>
    <col min="40" max="40" width="5" bestFit="1" customWidth="1"/>
    <col min="41" max="41" width="3.77734375" bestFit="1" customWidth="1"/>
    <col min="44" max="44" width="7" customWidth="1"/>
    <col min="45" max="45" width="15.33203125" customWidth="1"/>
    <col min="46" max="46" width="12.5546875" customWidth="1"/>
    <col min="47" max="47" width="19" bestFit="1" customWidth="1"/>
    <col min="48" max="49" width="10.109375" customWidth="1"/>
    <col min="51" max="51" width="11.109375" customWidth="1"/>
    <col min="53" max="53" width="12.5546875" customWidth="1"/>
    <col min="54" max="54" width="12" bestFit="1" customWidth="1"/>
    <col min="55" max="55" width="16.77734375" customWidth="1"/>
    <col min="56" max="56" width="12.5546875" customWidth="1"/>
    <col min="57" max="57" width="14.44140625" customWidth="1"/>
  </cols>
  <sheetData>
    <row r="1" spans="4:59" x14ac:dyDescent="0.3">
      <c r="AQ1" s="42"/>
    </row>
    <row r="2" spans="4:59" x14ac:dyDescent="0.3">
      <c r="AQ2" s="42"/>
    </row>
    <row r="3" spans="4:59" x14ac:dyDescent="0.3">
      <c r="AQ3" s="42"/>
    </row>
    <row r="4" spans="4:59" x14ac:dyDescent="0.3">
      <c r="D4" s="42"/>
      <c r="E4" s="42"/>
      <c r="F4" s="42"/>
      <c r="G4" s="68"/>
      <c r="H4" s="68"/>
      <c r="I4" s="68">
        <f>(DATEDIF($H$5,$H$6,"D")+1)</f>
        <v>30</v>
      </c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</row>
    <row r="5" spans="4:59" x14ac:dyDescent="0.3">
      <c r="D5" s="42"/>
      <c r="E5" s="42"/>
      <c r="F5" s="42"/>
      <c r="G5" s="68" t="s">
        <v>26</v>
      </c>
      <c r="H5" s="69">
        <v>45962</v>
      </c>
      <c r="I5" s="68" t="str">
        <f>TEXT(H5,"MMMM")</f>
        <v>November</v>
      </c>
      <c r="J5" s="42"/>
      <c r="K5" s="42"/>
      <c r="L5" s="42"/>
      <c r="M5" s="43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</row>
    <row r="6" spans="4:59" ht="15" thickBot="1" x14ac:dyDescent="0.35">
      <c r="D6" s="42"/>
      <c r="E6" s="42"/>
      <c r="F6" s="42"/>
      <c r="G6" s="68" t="s">
        <v>27</v>
      </c>
      <c r="H6" s="69">
        <f>EOMONTH(H5,0)</f>
        <v>45991</v>
      </c>
      <c r="I6" s="68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</row>
    <row r="7" spans="4:59" ht="15.6" x14ac:dyDescent="0.3">
      <c r="D7" s="42"/>
      <c r="E7" s="42"/>
      <c r="F7" s="42"/>
      <c r="G7" s="83" t="s">
        <v>29</v>
      </c>
      <c r="H7" s="84"/>
      <c r="I7" s="84"/>
      <c r="J7" s="55" t="s">
        <v>28</v>
      </c>
      <c r="K7" s="55" t="str">
        <f>TEXT(K8,"DDD")</f>
        <v>Sat</v>
      </c>
      <c r="L7" s="55" t="str">
        <f t="shared" ref="L7:AO7" si="0">TEXT(L8,"DDD")</f>
        <v>Sun</v>
      </c>
      <c r="M7" s="55" t="str">
        <f t="shared" si="0"/>
        <v>Mon</v>
      </c>
      <c r="N7" s="55" t="str">
        <f t="shared" si="0"/>
        <v>Tue</v>
      </c>
      <c r="O7" s="55" t="str">
        <f t="shared" si="0"/>
        <v>Wed</v>
      </c>
      <c r="P7" s="55" t="str">
        <f t="shared" si="0"/>
        <v>Thu</v>
      </c>
      <c r="Q7" s="55" t="str">
        <f t="shared" si="0"/>
        <v>Fri</v>
      </c>
      <c r="R7" s="55" t="str">
        <f t="shared" si="0"/>
        <v>Sat</v>
      </c>
      <c r="S7" s="55" t="str">
        <f t="shared" si="0"/>
        <v>Sun</v>
      </c>
      <c r="T7" s="55" t="str">
        <f t="shared" si="0"/>
        <v>Mon</v>
      </c>
      <c r="U7" s="55" t="str">
        <f t="shared" si="0"/>
        <v>Tue</v>
      </c>
      <c r="V7" s="55" t="str">
        <f t="shared" si="0"/>
        <v>Wed</v>
      </c>
      <c r="W7" s="55" t="str">
        <f t="shared" si="0"/>
        <v>Thu</v>
      </c>
      <c r="X7" s="55" t="str">
        <f t="shared" si="0"/>
        <v>Fri</v>
      </c>
      <c r="Y7" s="55" t="str">
        <f t="shared" si="0"/>
        <v>Sat</v>
      </c>
      <c r="Z7" s="55" t="str">
        <f t="shared" si="0"/>
        <v>Sun</v>
      </c>
      <c r="AA7" s="55" t="str">
        <f t="shared" si="0"/>
        <v>Mon</v>
      </c>
      <c r="AB7" s="55" t="str">
        <f t="shared" si="0"/>
        <v>Tue</v>
      </c>
      <c r="AC7" s="55" t="str">
        <f t="shared" si="0"/>
        <v>Wed</v>
      </c>
      <c r="AD7" s="55" t="str">
        <f t="shared" si="0"/>
        <v>Thu</v>
      </c>
      <c r="AE7" s="55" t="str">
        <f t="shared" si="0"/>
        <v>Fri</v>
      </c>
      <c r="AF7" s="55" t="str">
        <f t="shared" si="0"/>
        <v>Sat</v>
      </c>
      <c r="AG7" s="55" t="str">
        <f t="shared" si="0"/>
        <v>Sun</v>
      </c>
      <c r="AH7" s="55" t="str">
        <f t="shared" si="0"/>
        <v>Mon</v>
      </c>
      <c r="AI7" s="55" t="str">
        <f t="shared" si="0"/>
        <v>Tue</v>
      </c>
      <c r="AJ7" s="55" t="str">
        <f t="shared" si="0"/>
        <v>Wed</v>
      </c>
      <c r="AK7" s="55" t="str">
        <f t="shared" si="0"/>
        <v>Thu</v>
      </c>
      <c r="AL7" s="55" t="str">
        <f t="shared" si="0"/>
        <v>Fri</v>
      </c>
      <c r="AM7" s="55" t="str">
        <f t="shared" si="0"/>
        <v>Sat</v>
      </c>
      <c r="AN7" s="55" t="str">
        <f t="shared" si="0"/>
        <v>Sun</v>
      </c>
      <c r="AO7" s="56" t="str">
        <f t="shared" si="0"/>
        <v/>
      </c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</row>
    <row r="8" spans="4:59" ht="16.2" thickBot="1" x14ac:dyDescent="0.35">
      <c r="D8" s="42"/>
      <c r="E8" s="42"/>
      <c r="F8" s="42"/>
      <c r="G8" s="57" t="s">
        <v>0</v>
      </c>
      <c r="H8" s="7" t="s">
        <v>23</v>
      </c>
      <c r="I8" s="8" t="s">
        <v>24</v>
      </c>
      <c r="J8" s="45" t="s">
        <v>25</v>
      </c>
      <c r="K8" s="46">
        <f>H5</f>
        <v>45962</v>
      </c>
      <c r="L8" s="46">
        <f>IF(K8&lt;$H$6,K8+1,"")</f>
        <v>45963</v>
      </c>
      <c r="M8" s="46">
        <f t="shared" ref="M8:AO8" si="1">IF(L8&lt;$H$6,L8+1,"")</f>
        <v>45964</v>
      </c>
      <c r="N8" s="46">
        <f t="shared" si="1"/>
        <v>45965</v>
      </c>
      <c r="O8" s="46">
        <f t="shared" si="1"/>
        <v>45966</v>
      </c>
      <c r="P8" s="46">
        <f t="shared" si="1"/>
        <v>45967</v>
      </c>
      <c r="Q8" s="46">
        <f t="shared" si="1"/>
        <v>45968</v>
      </c>
      <c r="R8" s="46">
        <f t="shared" si="1"/>
        <v>45969</v>
      </c>
      <c r="S8" s="46">
        <f t="shared" si="1"/>
        <v>45970</v>
      </c>
      <c r="T8" s="46">
        <f t="shared" si="1"/>
        <v>45971</v>
      </c>
      <c r="U8" s="46">
        <f t="shared" si="1"/>
        <v>45972</v>
      </c>
      <c r="V8" s="46">
        <f t="shared" si="1"/>
        <v>45973</v>
      </c>
      <c r="W8" s="46">
        <f t="shared" si="1"/>
        <v>45974</v>
      </c>
      <c r="X8" s="46">
        <f t="shared" si="1"/>
        <v>45975</v>
      </c>
      <c r="Y8" s="46">
        <f t="shared" si="1"/>
        <v>45976</v>
      </c>
      <c r="Z8" s="46">
        <f t="shared" si="1"/>
        <v>45977</v>
      </c>
      <c r="AA8" s="46">
        <f t="shared" si="1"/>
        <v>45978</v>
      </c>
      <c r="AB8" s="46">
        <f t="shared" si="1"/>
        <v>45979</v>
      </c>
      <c r="AC8" s="46">
        <f>IF(AB8&lt;$H$6,AB8+1,"")</f>
        <v>45980</v>
      </c>
      <c r="AD8" s="46">
        <f t="shared" si="1"/>
        <v>45981</v>
      </c>
      <c r="AE8" s="46">
        <f t="shared" si="1"/>
        <v>45982</v>
      </c>
      <c r="AF8" s="46">
        <f t="shared" si="1"/>
        <v>45983</v>
      </c>
      <c r="AG8" s="46">
        <f t="shared" si="1"/>
        <v>45984</v>
      </c>
      <c r="AH8" s="46">
        <f t="shared" si="1"/>
        <v>45985</v>
      </c>
      <c r="AI8" s="46">
        <f t="shared" si="1"/>
        <v>45986</v>
      </c>
      <c r="AJ8" s="46">
        <f t="shared" si="1"/>
        <v>45987</v>
      </c>
      <c r="AK8" s="46">
        <f t="shared" si="1"/>
        <v>45988</v>
      </c>
      <c r="AL8" s="46">
        <f>IF(AK8&lt;$H$6,AK8+1,"")</f>
        <v>45989</v>
      </c>
      <c r="AM8" s="46">
        <f t="shared" si="1"/>
        <v>45990</v>
      </c>
      <c r="AN8" s="46">
        <f t="shared" si="1"/>
        <v>45991</v>
      </c>
      <c r="AO8" s="58" t="str">
        <f t="shared" si="1"/>
        <v/>
      </c>
      <c r="AP8" s="42"/>
      <c r="AQ8" s="42"/>
      <c r="AR8" s="27" t="s">
        <v>0</v>
      </c>
      <c r="AS8" s="27" t="s">
        <v>23</v>
      </c>
      <c r="AT8" s="27" t="s">
        <v>39</v>
      </c>
      <c r="AU8" s="39" t="s">
        <v>24</v>
      </c>
      <c r="AV8" s="40" t="s">
        <v>30</v>
      </c>
      <c r="AW8" s="41" t="s">
        <v>31</v>
      </c>
      <c r="AX8" s="41" t="s">
        <v>32</v>
      </c>
      <c r="AY8" s="41" t="s">
        <v>33</v>
      </c>
      <c r="AZ8" s="41" t="s">
        <v>28</v>
      </c>
      <c r="BA8" s="41" t="s">
        <v>34</v>
      </c>
      <c r="BB8" s="41" t="s">
        <v>35</v>
      </c>
      <c r="BC8" s="41" t="s">
        <v>36</v>
      </c>
      <c r="BD8" s="41" t="s">
        <v>37</v>
      </c>
      <c r="BE8" s="41" t="s">
        <v>38</v>
      </c>
    </row>
    <row r="9" spans="4:59" ht="15.6" x14ac:dyDescent="0.3">
      <c r="D9" s="42"/>
      <c r="E9" s="42"/>
      <c r="F9" s="42"/>
      <c r="G9" s="59">
        <v>1</v>
      </c>
      <c r="H9" s="10">
        <v>1001</v>
      </c>
      <c r="I9" s="11" t="s">
        <v>3</v>
      </c>
      <c r="J9" s="47">
        <f>COUNTIF($K$7:$AO$7,"sun")</f>
        <v>5</v>
      </c>
      <c r="K9" s="48" t="s">
        <v>43</v>
      </c>
      <c r="L9" s="48" t="str">
        <f t="shared" ref="L9:AN17" si="2">IF(L$7="sun","WO","")</f>
        <v>WO</v>
      </c>
      <c r="M9" s="48" t="s">
        <v>43</v>
      </c>
      <c r="N9" s="48" t="s">
        <v>43</v>
      </c>
      <c r="O9" s="48" t="s">
        <v>41</v>
      </c>
      <c r="P9" s="48" t="s">
        <v>43</v>
      </c>
      <c r="Q9" s="48" t="s">
        <v>43</v>
      </c>
      <c r="R9" s="48" t="s">
        <v>43</v>
      </c>
      <c r="S9" s="48" t="str">
        <f t="shared" si="2"/>
        <v>WO</v>
      </c>
      <c r="T9" s="48" t="s">
        <v>43</v>
      </c>
      <c r="U9" s="48" t="s">
        <v>43</v>
      </c>
      <c r="V9" s="48" t="s">
        <v>43</v>
      </c>
      <c r="W9" s="48" t="s">
        <v>43</v>
      </c>
      <c r="X9" s="48" t="s">
        <v>41</v>
      </c>
      <c r="Y9" s="48" t="s">
        <v>43</v>
      </c>
      <c r="Z9" s="48" t="str">
        <f t="shared" si="2"/>
        <v>WO</v>
      </c>
      <c r="AA9" s="48" t="s">
        <v>43</v>
      </c>
      <c r="AB9" s="48" t="s">
        <v>43</v>
      </c>
      <c r="AC9" s="48" t="s">
        <v>43</v>
      </c>
      <c r="AD9" s="48" t="s">
        <v>43</v>
      </c>
      <c r="AE9" s="48" t="s">
        <v>43</v>
      </c>
      <c r="AF9" s="48" t="s">
        <v>43</v>
      </c>
      <c r="AG9" s="48" t="str">
        <f t="shared" si="2"/>
        <v>WO</v>
      </c>
      <c r="AH9" s="48" t="s">
        <v>44</v>
      </c>
      <c r="AI9" s="48" t="s">
        <v>43</v>
      </c>
      <c r="AJ9" s="48" t="s">
        <v>43</v>
      </c>
      <c r="AK9" s="48" t="s">
        <v>43</v>
      </c>
      <c r="AL9" s="48" t="s">
        <v>43</v>
      </c>
      <c r="AM9" s="48" t="s">
        <v>43</v>
      </c>
      <c r="AN9" s="48" t="s">
        <v>45</v>
      </c>
      <c r="AO9" s="60"/>
      <c r="AP9" s="42"/>
      <c r="AQ9" s="42"/>
      <c r="AR9" s="3">
        <v>1</v>
      </c>
      <c r="AS9" s="3">
        <v>1001</v>
      </c>
      <c r="AT9" s="3" t="str">
        <f>$I$5</f>
        <v>November</v>
      </c>
      <c r="AU9" s="36" t="s">
        <v>3</v>
      </c>
      <c r="AV9" s="30">
        <f>COUNTIF($K9:$AO9,"P")</f>
        <v>22</v>
      </c>
      <c r="AW9" s="30">
        <f>COUNTIF($K9:$AO9,"A")</f>
        <v>1</v>
      </c>
      <c r="AX9" s="30">
        <f>COUNTIF($K9:$AO9,"L")</f>
        <v>2</v>
      </c>
      <c r="AY9" s="30">
        <f>$J$9</f>
        <v>5</v>
      </c>
      <c r="AZ9" s="30">
        <f>$I$4</f>
        <v>30</v>
      </c>
      <c r="BA9" s="30">
        <f>AZ9-AW9</f>
        <v>29</v>
      </c>
      <c r="BB9" s="31">
        <v>25000</v>
      </c>
      <c r="BC9" s="32">
        <f>BB9/AZ9</f>
        <v>833.33333333333337</v>
      </c>
      <c r="BD9" s="31">
        <f>BC9*AW9</f>
        <v>833.33333333333337</v>
      </c>
      <c r="BE9" s="31">
        <f>BB9-BD9</f>
        <v>24166.666666666668</v>
      </c>
    </row>
    <row r="10" spans="4:59" ht="15.6" x14ac:dyDescent="0.3">
      <c r="D10" s="42"/>
      <c r="E10" s="42"/>
      <c r="F10" s="42"/>
      <c r="G10" s="59">
        <v>2</v>
      </c>
      <c r="H10" s="10">
        <v>1002</v>
      </c>
      <c r="I10" s="11" t="s">
        <v>4</v>
      </c>
      <c r="J10" s="49">
        <f t="shared" ref="J10:J28" si="3">COUNTIF($K$7:$AO$7,"sun")</f>
        <v>5</v>
      </c>
      <c r="K10" s="2" t="s">
        <v>43</v>
      </c>
      <c r="L10" s="2" t="str">
        <f t="shared" si="2"/>
        <v>WO</v>
      </c>
      <c r="M10" s="2" t="s">
        <v>43</v>
      </c>
      <c r="N10" s="2" t="s">
        <v>43</v>
      </c>
      <c r="O10" s="48" t="s">
        <v>41</v>
      </c>
      <c r="P10" s="2" t="s">
        <v>43</v>
      </c>
      <c r="Q10" s="2" t="s">
        <v>43</v>
      </c>
      <c r="R10" s="2" t="s">
        <v>43</v>
      </c>
      <c r="S10" s="2" t="str">
        <f t="shared" si="2"/>
        <v>WO</v>
      </c>
      <c r="T10" s="2" t="s">
        <v>43</v>
      </c>
      <c r="U10" s="2" t="s">
        <v>43</v>
      </c>
      <c r="V10" s="2" t="s">
        <v>43</v>
      </c>
      <c r="W10" s="2" t="s">
        <v>43</v>
      </c>
      <c r="X10" s="48" t="s">
        <v>41</v>
      </c>
      <c r="Y10" s="2" t="s">
        <v>43</v>
      </c>
      <c r="Z10" s="2" t="str">
        <f t="shared" si="2"/>
        <v>WO</v>
      </c>
      <c r="AA10" s="2" t="s">
        <v>43</v>
      </c>
      <c r="AB10" s="2" t="s">
        <v>43</v>
      </c>
      <c r="AC10" s="2" t="s">
        <v>43</v>
      </c>
      <c r="AD10" s="2" t="s">
        <v>43</v>
      </c>
      <c r="AE10" s="2" t="s">
        <v>44</v>
      </c>
      <c r="AF10" s="2" t="s">
        <v>43</v>
      </c>
      <c r="AG10" s="2" t="str">
        <f t="shared" si="2"/>
        <v>WO</v>
      </c>
      <c r="AH10" s="2" t="s">
        <v>43</v>
      </c>
      <c r="AI10" s="2" t="s">
        <v>43</v>
      </c>
      <c r="AJ10" s="2" t="s">
        <v>43</v>
      </c>
      <c r="AK10" s="2" t="s">
        <v>43</v>
      </c>
      <c r="AL10" s="2" t="s">
        <v>43</v>
      </c>
      <c r="AM10" s="2" t="s">
        <v>43</v>
      </c>
      <c r="AN10" s="2" t="str">
        <f t="shared" si="2"/>
        <v>WO</v>
      </c>
      <c r="AO10" s="76"/>
      <c r="AP10" s="42"/>
      <c r="AQ10" s="42"/>
      <c r="AR10" s="3">
        <v>2</v>
      </c>
      <c r="AS10" s="3">
        <v>1002</v>
      </c>
      <c r="AT10" s="3" t="str">
        <f t="shared" ref="AT10:AT28" si="4">$I$5</f>
        <v>November</v>
      </c>
      <c r="AU10" s="36" t="s">
        <v>4</v>
      </c>
      <c r="AV10">
        <f t="shared" ref="AV10:AV28" si="5">COUNTIF($K10:$AO10,"P")</f>
        <v>22</v>
      </c>
      <c r="AW10">
        <f t="shared" ref="AW10:AW28" si="6">COUNTIF($K10:$AO10,"A")</f>
        <v>1</v>
      </c>
      <c r="AX10">
        <f t="shared" ref="AX10:AX28" si="7">COUNTIF($K10:$AO10,"L")</f>
        <v>2</v>
      </c>
      <c r="AY10">
        <f t="shared" ref="AY10:AY28" si="8">$J$9</f>
        <v>5</v>
      </c>
      <c r="AZ10">
        <f t="shared" ref="AZ10:AZ28" si="9">$I$4</f>
        <v>30</v>
      </c>
      <c r="BA10">
        <f t="shared" ref="BA10:BA28" si="10">AZ10-AW10</f>
        <v>29</v>
      </c>
      <c r="BB10" s="28">
        <v>24000</v>
      </c>
      <c r="BC10" s="29">
        <f t="shared" ref="BC10:BC28" si="11">BB10/AZ10</f>
        <v>800</v>
      </c>
      <c r="BD10" s="28">
        <f t="shared" ref="BD10:BD28" si="12">BC10*AW10</f>
        <v>800</v>
      </c>
      <c r="BE10" s="28">
        <f t="shared" ref="BE10:BE28" si="13">BB10-BD10</f>
        <v>23200</v>
      </c>
    </row>
    <row r="11" spans="4:59" ht="15.6" x14ac:dyDescent="0.3">
      <c r="D11" s="42"/>
      <c r="E11" s="42"/>
      <c r="F11" s="42"/>
      <c r="G11" s="59">
        <v>3</v>
      </c>
      <c r="H11" s="10">
        <v>1003</v>
      </c>
      <c r="I11" s="11" t="s">
        <v>5</v>
      </c>
      <c r="J11" s="49">
        <f t="shared" si="3"/>
        <v>5</v>
      </c>
      <c r="K11" s="2" t="s">
        <v>43</v>
      </c>
      <c r="L11" s="2" t="str">
        <f t="shared" si="2"/>
        <v>WO</v>
      </c>
      <c r="M11" s="2" t="s">
        <v>43</v>
      </c>
      <c r="N11" s="2" t="s">
        <v>43</v>
      </c>
      <c r="O11" s="48" t="s">
        <v>41</v>
      </c>
      <c r="P11" s="2" t="s">
        <v>43</v>
      </c>
      <c r="Q11" s="2" t="s">
        <v>43</v>
      </c>
      <c r="R11" s="2" t="s">
        <v>43</v>
      </c>
      <c r="S11" s="2" t="str">
        <f t="shared" si="2"/>
        <v>WO</v>
      </c>
      <c r="T11" s="2" t="s">
        <v>43</v>
      </c>
      <c r="U11" s="2" t="s">
        <v>43</v>
      </c>
      <c r="V11" s="2" t="s">
        <v>43</v>
      </c>
      <c r="W11" s="2" t="s">
        <v>43</v>
      </c>
      <c r="X11" s="48" t="s">
        <v>41</v>
      </c>
      <c r="Y11" s="2" t="s">
        <v>43</v>
      </c>
      <c r="Z11" s="2" t="str">
        <f t="shared" si="2"/>
        <v>WO</v>
      </c>
      <c r="AA11" s="2" t="s">
        <v>43</v>
      </c>
      <c r="AB11" s="2" t="s">
        <v>43</v>
      </c>
      <c r="AC11" s="2" t="s">
        <v>43</v>
      </c>
      <c r="AD11" s="2" t="s">
        <v>43</v>
      </c>
      <c r="AE11" s="2" t="s">
        <v>43</v>
      </c>
      <c r="AF11" s="2" t="s">
        <v>43</v>
      </c>
      <c r="AG11" s="2" t="str">
        <f t="shared" si="2"/>
        <v>WO</v>
      </c>
      <c r="AH11" s="2" t="s">
        <v>43</v>
      </c>
      <c r="AI11" s="2" t="s">
        <v>43</v>
      </c>
      <c r="AJ11" s="2" t="s">
        <v>43</v>
      </c>
      <c r="AK11" s="2" t="s">
        <v>43</v>
      </c>
      <c r="AL11" s="2" t="s">
        <v>43</v>
      </c>
      <c r="AM11" s="2" t="s">
        <v>44</v>
      </c>
      <c r="AN11" s="2" t="str">
        <f t="shared" si="2"/>
        <v>WO</v>
      </c>
      <c r="AO11" s="76"/>
      <c r="AP11" s="42"/>
      <c r="AQ11" s="42"/>
      <c r="AR11" s="3">
        <v>3</v>
      </c>
      <c r="AS11" s="3">
        <v>1003</v>
      </c>
      <c r="AT11" s="3" t="str">
        <f t="shared" si="4"/>
        <v>November</v>
      </c>
      <c r="AU11" s="36" t="s">
        <v>5</v>
      </c>
      <c r="AV11">
        <f t="shared" si="5"/>
        <v>22</v>
      </c>
      <c r="AW11">
        <f t="shared" si="6"/>
        <v>1</v>
      </c>
      <c r="AX11">
        <f t="shared" si="7"/>
        <v>2</v>
      </c>
      <c r="AY11">
        <f t="shared" si="8"/>
        <v>5</v>
      </c>
      <c r="AZ11">
        <f t="shared" si="9"/>
        <v>30</v>
      </c>
      <c r="BA11">
        <f t="shared" si="10"/>
        <v>29</v>
      </c>
      <c r="BB11" s="28">
        <v>23000</v>
      </c>
      <c r="BC11" s="29">
        <f t="shared" si="11"/>
        <v>766.66666666666663</v>
      </c>
      <c r="BD11" s="28">
        <f t="shared" si="12"/>
        <v>766.66666666666663</v>
      </c>
      <c r="BE11" s="28">
        <f t="shared" si="13"/>
        <v>22233.333333333332</v>
      </c>
    </row>
    <row r="12" spans="4:59" ht="15.6" x14ac:dyDescent="0.3">
      <c r="D12" s="42"/>
      <c r="E12" s="42"/>
      <c r="F12" s="42"/>
      <c r="G12" s="59">
        <v>4</v>
      </c>
      <c r="H12" s="10">
        <v>1004</v>
      </c>
      <c r="I12" s="11" t="s">
        <v>6</v>
      </c>
      <c r="J12" s="49">
        <f t="shared" si="3"/>
        <v>5</v>
      </c>
      <c r="K12" s="2" t="s">
        <v>43</v>
      </c>
      <c r="L12" s="2" t="str">
        <f t="shared" si="2"/>
        <v>WO</v>
      </c>
      <c r="M12" s="2" t="s">
        <v>43</v>
      </c>
      <c r="N12" s="2" t="s">
        <v>43</v>
      </c>
      <c r="O12" s="48" t="s">
        <v>41</v>
      </c>
      <c r="P12" s="2" t="s">
        <v>43</v>
      </c>
      <c r="Q12" s="2" t="s">
        <v>43</v>
      </c>
      <c r="R12" s="2" t="s">
        <v>43</v>
      </c>
      <c r="S12" s="2" t="str">
        <f t="shared" si="2"/>
        <v>WO</v>
      </c>
      <c r="T12" s="2" t="s">
        <v>43</v>
      </c>
      <c r="U12" s="2" t="s">
        <v>43</v>
      </c>
      <c r="V12" s="2" t="s">
        <v>43</v>
      </c>
      <c r="W12" s="2" t="s">
        <v>44</v>
      </c>
      <c r="X12" s="48" t="s">
        <v>41</v>
      </c>
      <c r="Y12" s="2" t="s">
        <v>43</v>
      </c>
      <c r="Z12" s="2" t="str">
        <f t="shared" si="2"/>
        <v>WO</v>
      </c>
      <c r="AA12" s="2" t="s">
        <v>43</v>
      </c>
      <c r="AB12" s="2" t="s">
        <v>43</v>
      </c>
      <c r="AC12" s="2" t="s">
        <v>43</v>
      </c>
      <c r="AD12" s="2" t="s">
        <v>43</v>
      </c>
      <c r="AE12" s="2" t="s">
        <v>43</v>
      </c>
      <c r="AF12" s="2" t="s">
        <v>43</v>
      </c>
      <c r="AG12" s="2" t="str">
        <f t="shared" si="2"/>
        <v>WO</v>
      </c>
      <c r="AH12" s="2" t="s">
        <v>43</v>
      </c>
      <c r="AI12" s="2" t="s">
        <v>43</v>
      </c>
      <c r="AJ12" s="2" t="s">
        <v>43</v>
      </c>
      <c r="AK12" s="2" t="s">
        <v>43</v>
      </c>
      <c r="AL12" s="2" t="s">
        <v>43</v>
      </c>
      <c r="AM12" s="2" t="s">
        <v>43</v>
      </c>
      <c r="AN12" s="2" t="str">
        <f t="shared" si="2"/>
        <v>WO</v>
      </c>
      <c r="AO12" s="76"/>
      <c r="AP12" s="42"/>
      <c r="AQ12" s="42"/>
      <c r="AR12" s="3">
        <v>4</v>
      </c>
      <c r="AS12" s="3">
        <v>1004</v>
      </c>
      <c r="AT12" s="3" t="str">
        <f t="shared" si="4"/>
        <v>November</v>
      </c>
      <c r="AU12" s="36" t="s">
        <v>6</v>
      </c>
      <c r="AV12">
        <f t="shared" si="5"/>
        <v>22</v>
      </c>
      <c r="AW12">
        <f t="shared" si="6"/>
        <v>1</v>
      </c>
      <c r="AX12">
        <f t="shared" si="7"/>
        <v>2</v>
      </c>
      <c r="AY12">
        <f t="shared" si="8"/>
        <v>5</v>
      </c>
      <c r="AZ12">
        <f t="shared" si="9"/>
        <v>30</v>
      </c>
      <c r="BA12">
        <f t="shared" si="10"/>
        <v>29</v>
      </c>
      <c r="BB12" s="28">
        <v>25000</v>
      </c>
      <c r="BC12" s="29">
        <f t="shared" si="11"/>
        <v>833.33333333333337</v>
      </c>
      <c r="BD12" s="28">
        <f t="shared" si="12"/>
        <v>833.33333333333337</v>
      </c>
      <c r="BE12" s="28">
        <f t="shared" si="13"/>
        <v>24166.666666666668</v>
      </c>
    </row>
    <row r="13" spans="4:59" ht="15.6" x14ac:dyDescent="0.3">
      <c r="D13" s="42"/>
      <c r="E13" s="42"/>
      <c r="F13" s="42"/>
      <c r="G13" s="59">
        <v>5</v>
      </c>
      <c r="H13" s="10">
        <v>1005</v>
      </c>
      <c r="I13" s="11" t="s">
        <v>7</v>
      </c>
      <c r="J13" s="49">
        <f t="shared" si="3"/>
        <v>5</v>
      </c>
      <c r="K13" s="2" t="s">
        <v>43</v>
      </c>
      <c r="L13" s="2" t="str">
        <f t="shared" si="2"/>
        <v>WO</v>
      </c>
      <c r="M13" s="2" t="s">
        <v>43</v>
      </c>
      <c r="N13" s="2" t="s">
        <v>44</v>
      </c>
      <c r="O13" s="48" t="s">
        <v>41</v>
      </c>
      <c r="P13" s="2" t="s">
        <v>43</v>
      </c>
      <c r="Q13" s="2" t="s">
        <v>43</v>
      </c>
      <c r="R13" s="2" t="s">
        <v>43</v>
      </c>
      <c r="S13" s="2" t="str">
        <f t="shared" si="2"/>
        <v>WO</v>
      </c>
      <c r="T13" s="2" t="s">
        <v>43</v>
      </c>
      <c r="U13" s="2" t="s">
        <v>43</v>
      </c>
      <c r="V13" s="2" t="s">
        <v>43</v>
      </c>
      <c r="W13" s="2" t="s">
        <v>43</v>
      </c>
      <c r="X13" s="48" t="s">
        <v>41</v>
      </c>
      <c r="Y13" s="2" t="s">
        <v>43</v>
      </c>
      <c r="Z13" s="2" t="str">
        <f t="shared" si="2"/>
        <v>WO</v>
      </c>
      <c r="AA13" s="2" t="s">
        <v>43</v>
      </c>
      <c r="AB13" s="2" t="s">
        <v>43</v>
      </c>
      <c r="AC13" s="2" t="s">
        <v>43</v>
      </c>
      <c r="AD13" s="2" t="s">
        <v>43</v>
      </c>
      <c r="AE13" s="2" t="s">
        <v>43</v>
      </c>
      <c r="AF13" s="2" t="s">
        <v>43</v>
      </c>
      <c r="AG13" s="2" t="str">
        <f t="shared" si="2"/>
        <v>WO</v>
      </c>
      <c r="AH13" s="2" t="s">
        <v>43</v>
      </c>
      <c r="AI13" s="2" t="s">
        <v>43</v>
      </c>
      <c r="AJ13" s="2" t="s">
        <v>43</v>
      </c>
      <c r="AK13" s="2" t="s">
        <v>43</v>
      </c>
      <c r="AL13" s="2" t="s">
        <v>43</v>
      </c>
      <c r="AM13" s="2" t="s">
        <v>43</v>
      </c>
      <c r="AN13" s="2" t="str">
        <f t="shared" si="2"/>
        <v>WO</v>
      </c>
      <c r="AO13" s="76"/>
      <c r="AP13" s="42"/>
      <c r="AQ13" s="42"/>
      <c r="AR13" s="3">
        <v>5</v>
      </c>
      <c r="AS13" s="3">
        <v>1005</v>
      </c>
      <c r="AT13" s="3" t="str">
        <f t="shared" si="4"/>
        <v>November</v>
      </c>
      <c r="AU13" s="36" t="s">
        <v>7</v>
      </c>
      <c r="AV13">
        <f t="shared" si="5"/>
        <v>22</v>
      </c>
      <c r="AW13">
        <f t="shared" si="6"/>
        <v>1</v>
      </c>
      <c r="AX13">
        <f t="shared" si="7"/>
        <v>2</v>
      </c>
      <c r="AY13">
        <f t="shared" si="8"/>
        <v>5</v>
      </c>
      <c r="AZ13">
        <f t="shared" si="9"/>
        <v>30</v>
      </c>
      <c r="BA13">
        <f t="shared" si="10"/>
        <v>29</v>
      </c>
      <c r="BB13" s="28">
        <v>26000</v>
      </c>
      <c r="BC13" s="29">
        <f t="shared" si="11"/>
        <v>866.66666666666663</v>
      </c>
      <c r="BD13" s="28">
        <f t="shared" si="12"/>
        <v>866.66666666666663</v>
      </c>
      <c r="BE13" s="28">
        <f t="shared" si="13"/>
        <v>25133.333333333332</v>
      </c>
    </row>
    <row r="14" spans="4:59" ht="15.6" x14ac:dyDescent="0.3">
      <c r="D14" s="42"/>
      <c r="E14" s="42"/>
      <c r="F14" s="42"/>
      <c r="G14" s="59">
        <v>6</v>
      </c>
      <c r="H14" s="10">
        <v>1006</v>
      </c>
      <c r="I14" s="11" t="s">
        <v>8</v>
      </c>
      <c r="J14" s="49">
        <f t="shared" si="3"/>
        <v>5</v>
      </c>
      <c r="K14" s="2" t="s">
        <v>43</v>
      </c>
      <c r="L14" s="2" t="str">
        <f t="shared" si="2"/>
        <v>WO</v>
      </c>
      <c r="M14" s="2" t="s">
        <v>43</v>
      </c>
      <c r="N14" s="2" t="s">
        <v>43</v>
      </c>
      <c r="O14" s="48" t="s">
        <v>41</v>
      </c>
      <c r="P14" s="2" t="s">
        <v>43</v>
      </c>
      <c r="Q14" s="2" t="s">
        <v>43</v>
      </c>
      <c r="R14" s="2" t="s">
        <v>43</v>
      </c>
      <c r="S14" s="2" t="str">
        <f t="shared" si="2"/>
        <v>WO</v>
      </c>
      <c r="T14" s="2" t="s">
        <v>43</v>
      </c>
      <c r="U14" s="2" t="s">
        <v>43</v>
      </c>
      <c r="V14" s="2" t="s">
        <v>43</v>
      </c>
      <c r="W14" s="2" t="s">
        <v>43</v>
      </c>
      <c r="X14" s="48" t="s">
        <v>41</v>
      </c>
      <c r="Y14" s="2" t="s">
        <v>43</v>
      </c>
      <c r="Z14" s="2" t="str">
        <f t="shared" si="2"/>
        <v>WO</v>
      </c>
      <c r="AA14" s="2" t="s">
        <v>43</v>
      </c>
      <c r="AB14" s="2" t="s">
        <v>43</v>
      </c>
      <c r="AC14" s="2" t="s">
        <v>43</v>
      </c>
      <c r="AD14" s="2" t="s">
        <v>43</v>
      </c>
      <c r="AE14" s="2" t="s">
        <v>43</v>
      </c>
      <c r="AF14" s="2" t="s">
        <v>43</v>
      </c>
      <c r="AG14" s="2" t="str">
        <f t="shared" si="2"/>
        <v>WO</v>
      </c>
      <c r="AH14" s="2" t="s">
        <v>43</v>
      </c>
      <c r="AI14" s="2" t="s">
        <v>43</v>
      </c>
      <c r="AJ14" s="2" t="s">
        <v>43</v>
      </c>
      <c r="AK14" s="2" t="s">
        <v>43</v>
      </c>
      <c r="AL14" s="2" t="s">
        <v>43</v>
      </c>
      <c r="AM14" s="2" t="s">
        <v>43</v>
      </c>
      <c r="AN14" s="2" t="str">
        <f t="shared" si="2"/>
        <v>WO</v>
      </c>
      <c r="AO14" s="76"/>
      <c r="AP14" s="42"/>
      <c r="AQ14" s="42"/>
      <c r="AR14" s="3">
        <v>6</v>
      </c>
      <c r="AS14" s="3">
        <v>1006</v>
      </c>
      <c r="AT14" s="3" t="str">
        <f t="shared" si="4"/>
        <v>November</v>
      </c>
      <c r="AU14" s="36" t="s">
        <v>8</v>
      </c>
      <c r="AV14">
        <f t="shared" si="5"/>
        <v>23</v>
      </c>
      <c r="AW14">
        <f t="shared" si="6"/>
        <v>0</v>
      </c>
      <c r="AX14">
        <f t="shared" si="7"/>
        <v>2</v>
      </c>
      <c r="AY14">
        <f t="shared" si="8"/>
        <v>5</v>
      </c>
      <c r="AZ14">
        <f t="shared" si="9"/>
        <v>30</v>
      </c>
      <c r="BA14">
        <f t="shared" si="10"/>
        <v>30</v>
      </c>
      <c r="BB14" s="28">
        <v>31000</v>
      </c>
      <c r="BC14" s="29">
        <f t="shared" si="11"/>
        <v>1033.3333333333333</v>
      </c>
      <c r="BD14" s="28">
        <f t="shared" si="12"/>
        <v>0</v>
      </c>
      <c r="BE14" s="28">
        <f t="shared" si="13"/>
        <v>31000</v>
      </c>
    </row>
    <row r="15" spans="4:59" ht="15.6" x14ac:dyDescent="0.3">
      <c r="D15" s="42"/>
      <c r="E15" s="42"/>
      <c r="F15" s="42"/>
      <c r="G15" s="59">
        <v>7</v>
      </c>
      <c r="H15" s="10">
        <v>1007</v>
      </c>
      <c r="I15" s="11" t="s">
        <v>9</v>
      </c>
      <c r="J15" s="49">
        <f t="shared" si="3"/>
        <v>5</v>
      </c>
      <c r="K15" s="2" t="s">
        <v>43</v>
      </c>
      <c r="L15" s="2" t="str">
        <f t="shared" si="2"/>
        <v>WO</v>
      </c>
      <c r="M15" s="2" t="s">
        <v>43</v>
      </c>
      <c r="N15" s="2" t="s">
        <v>43</v>
      </c>
      <c r="O15" s="48" t="s">
        <v>41</v>
      </c>
      <c r="P15" s="2" t="s">
        <v>43</v>
      </c>
      <c r="Q15" s="2" t="s">
        <v>43</v>
      </c>
      <c r="R15" s="2" t="s">
        <v>43</v>
      </c>
      <c r="S15" s="2" t="str">
        <f t="shared" si="2"/>
        <v>WO</v>
      </c>
      <c r="T15" s="2" t="s">
        <v>43</v>
      </c>
      <c r="U15" s="2" t="s">
        <v>44</v>
      </c>
      <c r="V15" s="2" t="s">
        <v>43</v>
      </c>
      <c r="W15" s="2" t="s">
        <v>43</v>
      </c>
      <c r="X15" s="48" t="s">
        <v>41</v>
      </c>
      <c r="Y15" s="2" t="s">
        <v>43</v>
      </c>
      <c r="Z15" s="2" t="str">
        <f t="shared" si="2"/>
        <v>WO</v>
      </c>
      <c r="AA15" s="2" t="s">
        <v>43</v>
      </c>
      <c r="AB15" s="2" t="s">
        <v>43</v>
      </c>
      <c r="AC15" s="2" t="s">
        <v>43</v>
      </c>
      <c r="AD15" s="2" t="s">
        <v>43</v>
      </c>
      <c r="AE15" s="2" t="s">
        <v>43</v>
      </c>
      <c r="AF15" s="2" t="s">
        <v>43</v>
      </c>
      <c r="AG15" s="2" t="str">
        <f t="shared" si="2"/>
        <v>WO</v>
      </c>
      <c r="AH15" s="2" t="s">
        <v>43</v>
      </c>
      <c r="AI15" s="2" t="s">
        <v>43</v>
      </c>
      <c r="AJ15" s="2" t="s">
        <v>43</v>
      </c>
      <c r="AK15" s="2" t="s">
        <v>43</v>
      </c>
      <c r="AL15" s="2" t="s">
        <v>43</v>
      </c>
      <c r="AM15" s="2" t="s">
        <v>43</v>
      </c>
      <c r="AN15" s="2" t="str">
        <f t="shared" si="2"/>
        <v>WO</v>
      </c>
      <c r="AO15" s="76"/>
      <c r="AP15" s="42"/>
      <c r="AQ15" s="42"/>
      <c r="AR15" s="3">
        <v>7</v>
      </c>
      <c r="AS15" s="3">
        <v>1007</v>
      </c>
      <c r="AT15" s="3" t="str">
        <f t="shared" si="4"/>
        <v>November</v>
      </c>
      <c r="AU15" s="36" t="s">
        <v>9</v>
      </c>
      <c r="AV15">
        <f t="shared" si="5"/>
        <v>22</v>
      </c>
      <c r="AW15">
        <f t="shared" si="6"/>
        <v>1</v>
      </c>
      <c r="AX15">
        <f t="shared" si="7"/>
        <v>2</v>
      </c>
      <c r="AY15">
        <f t="shared" si="8"/>
        <v>5</v>
      </c>
      <c r="AZ15">
        <f t="shared" si="9"/>
        <v>30</v>
      </c>
      <c r="BA15">
        <f t="shared" si="10"/>
        <v>29</v>
      </c>
      <c r="BB15" s="28">
        <v>28000</v>
      </c>
      <c r="BC15" s="29">
        <f t="shared" si="11"/>
        <v>933.33333333333337</v>
      </c>
      <c r="BD15" s="28">
        <f t="shared" si="12"/>
        <v>933.33333333333337</v>
      </c>
      <c r="BE15" s="28">
        <f t="shared" si="13"/>
        <v>27066.666666666668</v>
      </c>
    </row>
    <row r="16" spans="4:59" ht="15.6" x14ac:dyDescent="0.3">
      <c r="D16" s="42"/>
      <c r="E16" s="42"/>
      <c r="F16" s="42"/>
      <c r="G16" s="59">
        <v>8</v>
      </c>
      <c r="H16" s="10">
        <v>1008</v>
      </c>
      <c r="I16" s="11" t="s">
        <v>10</v>
      </c>
      <c r="J16" s="49">
        <f t="shared" si="3"/>
        <v>5</v>
      </c>
      <c r="K16" s="2" t="s">
        <v>43</v>
      </c>
      <c r="L16" s="2" t="str">
        <f t="shared" si="2"/>
        <v>WO</v>
      </c>
      <c r="M16" s="2" t="s">
        <v>43</v>
      </c>
      <c r="N16" s="2" t="s">
        <v>43</v>
      </c>
      <c r="O16" s="48" t="s">
        <v>41</v>
      </c>
      <c r="P16" s="2" t="s">
        <v>43</v>
      </c>
      <c r="Q16" s="2" t="s">
        <v>43</v>
      </c>
      <c r="R16" s="2" t="s">
        <v>43</v>
      </c>
      <c r="S16" s="2" t="str">
        <f t="shared" si="2"/>
        <v>WO</v>
      </c>
      <c r="T16" s="2" t="s">
        <v>43</v>
      </c>
      <c r="U16" s="2" t="s">
        <v>43</v>
      </c>
      <c r="V16" s="2" t="s">
        <v>43</v>
      </c>
      <c r="W16" s="2" t="s">
        <v>43</v>
      </c>
      <c r="X16" s="48" t="s">
        <v>41</v>
      </c>
      <c r="Y16" s="2" t="s">
        <v>43</v>
      </c>
      <c r="Z16" s="2" t="str">
        <f t="shared" si="2"/>
        <v>WO</v>
      </c>
      <c r="AA16" s="2" t="s">
        <v>43</v>
      </c>
      <c r="AB16" s="2" t="s">
        <v>43</v>
      </c>
      <c r="AC16" s="2" t="s">
        <v>43</v>
      </c>
      <c r="AD16" s="2" t="s">
        <v>43</v>
      </c>
      <c r="AE16" s="2" t="s">
        <v>43</v>
      </c>
      <c r="AF16" s="2" t="s">
        <v>43</v>
      </c>
      <c r="AG16" s="2" t="str">
        <f t="shared" si="2"/>
        <v>WO</v>
      </c>
      <c r="AH16" s="2" t="s">
        <v>43</v>
      </c>
      <c r="AI16" s="2" t="s">
        <v>43</v>
      </c>
      <c r="AJ16" s="2" t="s">
        <v>43</v>
      </c>
      <c r="AK16" s="2" t="s">
        <v>43</v>
      </c>
      <c r="AL16" s="2" t="s">
        <v>43</v>
      </c>
      <c r="AM16" s="2" t="s">
        <v>43</v>
      </c>
      <c r="AN16" s="2" t="str">
        <f t="shared" si="2"/>
        <v>WO</v>
      </c>
      <c r="AO16" s="76"/>
      <c r="AP16" s="42"/>
      <c r="AQ16" s="42"/>
      <c r="AR16" s="3">
        <v>8</v>
      </c>
      <c r="AS16" s="3">
        <v>1008</v>
      </c>
      <c r="AT16" s="3" t="str">
        <f t="shared" si="4"/>
        <v>November</v>
      </c>
      <c r="AU16" s="36" t="s">
        <v>10</v>
      </c>
      <c r="AV16">
        <f t="shared" si="5"/>
        <v>23</v>
      </c>
      <c r="AW16">
        <f t="shared" si="6"/>
        <v>0</v>
      </c>
      <c r="AX16">
        <f t="shared" si="7"/>
        <v>2</v>
      </c>
      <c r="AY16">
        <f t="shared" si="8"/>
        <v>5</v>
      </c>
      <c r="AZ16">
        <f t="shared" si="9"/>
        <v>30</v>
      </c>
      <c r="BA16">
        <f t="shared" si="10"/>
        <v>30</v>
      </c>
      <c r="BB16" s="28">
        <v>29000</v>
      </c>
      <c r="BC16" s="29">
        <f t="shared" si="11"/>
        <v>966.66666666666663</v>
      </c>
      <c r="BD16" s="28">
        <f t="shared" si="12"/>
        <v>0</v>
      </c>
      <c r="BE16" s="28">
        <f t="shared" si="13"/>
        <v>29000</v>
      </c>
    </row>
    <row r="17" spans="4:59" ht="15.6" x14ac:dyDescent="0.3">
      <c r="D17" s="42"/>
      <c r="E17" s="42"/>
      <c r="F17" s="42"/>
      <c r="G17" s="59">
        <v>9</v>
      </c>
      <c r="H17" s="10">
        <v>1009</v>
      </c>
      <c r="I17" s="11" t="s">
        <v>11</v>
      </c>
      <c r="J17" s="49">
        <f t="shared" si="3"/>
        <v>5</v>
      </c>
      <c r="K17" s="2" t="s">
        <v>43</v>
      </c>
      <c r="L17" s="2" t="str">
        <f t="shared" si="2"/>
        <v>WO</v>
      </c>
      <c r="M17" s="2" t="s">
        <v>43</v>
      </c>
      <c r="N17" s="2" t="s">
        <v>43</v>
      </c>
      <c r="O17" s="48" t="s">
        <v>41</v>
      </c>
      <c r="P17" s="2" t="s">
        <v>43</v>
      </c>
      <c r="Q17" s="2" t="s">
        <v>43</v>
      </c>
      <c r="R17" s="2" t="s">
        <v>43</v>
      </c>
      <c r="S17" s="2" t="str">
        <f t="shared" si="2"/>
        <v>WO</v>
      </c>
      <c r="T17" s="2" t="s">
        <v>43</v>
      </c>
      <c r="U17" s="2" t="s">
        <v>43</v>
      </c>
      <c r="V17" s="2" t="s">
        <v>43</v>
      </c>
      <c r="W17" s="2" t="s">
        <v>43</v>
      </c>
      <c r="X17" s="48" t="s">
        <v>41</v>
      </c>
      <c r="Y17" s="2" t="s">
        <v>43</v>
      </c>
      <c r="Z17" s="2" t="str">
        <f t="shared" si="2"/>
        <v>WO</v>
      </c>
      <c r="AA17" s="2" t="s">
        <v>43</v>
      </c>
      <c r="AB17" s="2" t="s">
        <v>44</v>
      </c>
      <c r="AC17" s="2" t="s">
        <v>43</v>
      </c>
      <c r="AD17" s="2" t="s">
        <v>43</v>
      </c>
      <c r="AE17" s="2" t="s">
        <v>43</v>
      </c>
      <c r="AF17" s="2" t="s">
        <v>43</v>
      </c>
      <c r="AG17" s="2" t="str">
        <f t="shared" ref="AG17:AN28" si="14">IF(AG$7="sun","WO","")</f>
        <v>WO</v>
      </c>
      <c r="AH17" s="2" t="s">
        <v>43</v>
      </c>
      <c r="AI17" s="2" t="s">
        <v>43</v>
      </c>
      <c r="AJ17" s="2" t="s">
        <v>43</v>
      </c>
      <c r="AK17" s="2" t="s">
        <v>43</v>
      </c>
      <c r="AL17" s="2" t="s">
        <v>43</v>
      </c>
      <c r="AM17" s="2" t="s">
        <v>43</v>
      </c>
      <c r="AN17" s="2" t="str">
        <f t="shared" si="14"/>
        <v>WO</v>
      </c>
      <c r="AO17" s="76"/>
      <c r="AP17" s="42"/>
      <c r="AQ17" s="42"/>
      <c r="AR17" s="3">
        <v>9</v>
      </c>
      <c r="AS17" s="3">
        <v>1009</v>
      </c>
      <c r="AT17" s="3" t="str">
        <f t="shared" si="4"/>
        <v>November</v>
      </c>
      <c r="AU17" s="36" t="s">
        <v>11</v>
      </c>
      <c r="AV17">
        <f t="shared" si="5"/>
        <v>22</v>
      </c>
      <c r="AW17">
        <f t="shared" si="6"/>
        <v>1</v>
      </c>
      <c r="AX17">
        <f t="shared" si="7"/>
        <v>2</v>
      </c>
      <c r="AY17">
        <f t="shared" si="8"/>
        <v>5</v>
      </c>
      <c r="AZ17">
        <f t="shared" si="9"/>
        <v>30</v>
      </c>
      <c r="BA17">
        <f t="shared" si="10"/>
        <v>29</v>
      </c>
      <c r="BB17" s="28">
        <v>32000</v>
      </c>
      <c r="BC17" s="29">
        <f t="shared" si="11"/>
        <v>1066.6666666666667</v>
      </c>
      <c r="BD17" s="28">
        <f t="shared" si="12"/>
        <v>1066.6666666666667</v>
      </c>
      <c r="BE17" s="28">
        <f t="shared" si="13"/>
        <v>30933.333333333332</v>
      </c>
    </row>
    <row r="18" spans="4:59" ht="15.6" x14ac:dyDescent="0.3">
      <c r="D18" s="42"/>
      <c r="E18" s="42"/>
      <c r="F18" s="42"/>
      <c r="G18" s="59">
        <v>10</v>
      </c>
      <c r="H18" s="10">
        <v>1010</v>
      </c>
      <c r="I18" s="11" t="s">
        <v>12</v>
      </c>
      <c r="J18" s="49">
        <f t="shared" si="3"/>
        <v>5</v>
      </c>
      <c r="K18" s="2" t="s">
        <v>43</v>
      </c>
      <c r="L18" s="2" t="str">
        <f t="shared" ref="L18:Z28" si="15">IF(L$7="sun","WO","")</f>
        <v>WO</v>
      </c>
      <c r="M18" s="2" t="s">
        <v>43</v>
      </c>
      <c r="N18" s="2" t="s">
        <v>43</v>
      </c>
      <c r="O18" s="48" t="s">
        <v>41</v>
      </c>
      <c r="P18" s="2" t="s">
        <v>43</v>
      </c>
      <c r="Q18" s="2" t="s">
        <v>43</v>
      </c>
      <c r="R18" s="2" t="s">
        <v>44</v>
      </c>
      <c r="S18" s="2" t="str">
        <f t="shared" si="15"/>
        <v>WO</v>
      </c>
      <c r="T18" s="2" t="s">
        <v>43</v>
      </c>
      <c r="U18" s="2" t="s">
        <v>43</v>
      </c>
      <c r="V18" s="2" t="s">
        <v>43</v>
      </c>
      <c r="W18" s="2" t="s">
        <v>43</v>
      </c>
      <c r="X18" s="48" t="s">
        <v>41</v>
      </c>
      <c r="Y18" s="2" t="s">
        <v>43</v>
      </c>
      <c r="Z18" s="2" t="str">
        <f t="shared" si="15"/>
        <v>WO</v>
      </c>
      <c r="AA18" s="2" t="s">
        <v>43</v>
      </c>
      <c r="AB18" s="2" t="s">
        <v>43</v>
      </c>
      <c r="AC18" s="2" t="s">
        <v>43</v>
      </c>
      <c r="AD18" s="2" t="s">
        <v>43</v>
      </c>
      <c r="AE18" s="2" t="s">
        <v>43</v>
      </c>
      <c r="AF18" s="2" t="s">
        <v>43</v>
      </c>
      <c r="AG18" s="2" t="str">
        <f t="shared" si="14"/>
        <v>WO</v>
      </c>
      <c r="AH18" s="2" t="s">
        <v>43</v>
      </c>
      <c r="AI18" s="2" t="s">
        <v>43</v>
      </c>
      <c r="AJ18" s="2" t="s">
        <v>43</v>
      </c>
      <c r="AK18" s="2" t="s">
        <v>43</v>
      </c>
      <c r="AL18" s="2" t="s">
        <v>43</v>
      </c>
      <c r="AM18" s="2" t="s">
        <v>43</v>
      </c>
      <c r="AN18" s="2" t="str">
        <f t="shared" si="14"/>
        <v>WO</v>
      </c>
      <c r="AO18" s="76"/>
      <c r="AP18" s="42"/>
      <c r="AQ18" s="42"/>
      <c r="AR18" s="3">
        <v>10</v>
      </c>
      <c r="AS18" s="3">
        <v>1010</v>
      </c>
      <c r="AT18" s="3" t="str">
        <f t="shared" si="4"/>
        <v>November</v>
      </c>
      <c r="AU18" s="36" t="s">
        <v>12</v>
      </c>
      <c r="AV18">
        <f t="shared" si="5"/>
        <v>22</v>
      </c>
      <c r="AW18">
        <f t="shared" si="6"/>
        <v>1</v>
      </c>
      <c r="AX18">
        <f t="shared" si="7"/>
        <v>2</v>
      </c>
      <c r="AY18">
        <f t="shared" si="8"/>
        <v>5</v>
      </c>
      <c r="AZ18">
        <f t="shared" si="9"/>
        <v>30</v>
      </c>
      <c r="BA18">
        <f t="shared" si="10"/>
        <v>29</v>
      </c>
      <c r="BB18" s="28">
        <v>35000</v>
      </c>
      <c r="BC18" s="29">
        <f t="shared" si="11"/>
        <v>1166.6666666666667</v>
      </c>
      <c r="BD18" s="28">
        <f t="shared" si="12"/>
        <v>1166.6666666666667</v>
      </c>
      <c r="BE18" s="28">
        <f t="shared" si="13"/>
        <v>33833.333333333336</v>
      </c>
    </row>
    <row r="19" spans="4:59" ht="15.6" x14ac:dyDescent="0.3">
      <c r="D19" s="42"/>
      <c r="E19" s="42"/>
      <c r="F19" s="42"/>
      <c r="G19" s="59">
        <v>11</v>
      </c>
      <c r="H19" s="10">
        <v>1011</v>
      </c>
      <c r="I19" s="11" t="s">
        <v>13</v>
      </c>
      <c r="J19" s="49">
        <f t="shared" si="3"/>
        <v>5</v>
      </c>
      <c r="K19" s="2" t="s">
        <v>43</v>
      </c>
      <c r="L19" s="2" t="str">
        <f t="shared" si="15"/>
        <v>WO</v>
      </c>
      <c r="M19" s="2" t="s">
        <v>43</v>
      </c>
      <c r="N19" s="2" t="s">
        <v>43</v>
      </c>
      <c r="O19" s="48" t="s">
        <v>41</v>
      </c>
      <c r="P19" s="2" t="s">
        <v>43</v>
      </c>
      <c r="Q19" s="2" t="s">
        <v>43</v>
      </c>
      <c r="R19" s="2" t="s">
        <v>43</v>
      </c>
      <c r="S19" s="2" t="str">
        <f t="shared" si="15"/>
        <v>WO</v>
      </c>
      <c r="T19" s="2" t="s">
        <v>43</v>
      </c>
      <c r="U19" s="2" t="s">
        <v>43</v>
      </c>
      <c r="V19" s="2" t="s">
        <v>43</v>
      </c>
      <c r="W19" s="2" t="s">
        <v>43</v>
      </c>
      <c r="X19" s="48" t="s">
        <v>41</v>
      </c>
      <c r="Y19" s="2" t="s">
        <v>43</v>
      </c>
      <c r="Z19" s="2" t="str">
        <f t="shared" si="15"/>
        <v>WO</v>
      </c>
      <c r="AA19" s="2" t="s">
        <v>43</v>
      </c>
      <c r="AB19" s="2" t="s">
        <v>43</v>
      </c>
      <c r="AC19" s="2" t="s">
        <v>43</v>
      </c>
      <c r="AD19" s="2" t="s">
        <v>43</v>
      </c>
      <c r="AE19" s="2" t="s">
        <v>43</v>
      </c>
      <c r="AF19" s="2" t="s">
        <v>43</v>
      </c>
      <c r="AG19" s="2" t="str">
        <f t="shared" si="14"/>
        <v>WO</v>
      </c>
      <c r="AH19" s="2" t="s">
        <v>43</v>
      </c>
      <c r="AI19" s="2" t="s">
        <v>43</v>
      </c>
      <c r="AJ19" s="2" t="s">
        <v>43</v>
      </c>
      <c r="AK19" s="2" t="s">
        <v>43</v>
      </c>
      <c r="AL19" s="2" t="s">
        <v>43</v>
      </c>
      <c r="AM19" s="2" t="s">
        <v>43</v>
      </c>
      <c r="AN19" s="2" t="str">
        <f t="shared" si="14"/>
        <v>WO</v>
      </c>
      <c r="AO19" s="76"/>
      <c r="AP19" s="42"/>
      <c r="AQ19" s="42"/>
      <c r="AR19" s="3">
        <v>11</v>
      </c>
      <c r="AS19" s="3">
        <v>1011</v>
      </c>
      <c r="AT19" s="3" t="str">
        <f t="shared" si="4"/>
        <v>November</v>
      </c>
      <c r="AU19" s="36" t="s">
        <v>13</v>
      </c>
      <c r="AV19">
        <f t="shared" si="5"/>
        <v>23</v>
      </c>
      <c r="AW19">
        <f t="shared" si="6"/>
        <v>0</v>
      </c>
      <c r="AX19">
        <f t="shared" si="7"/>
        <v>2</v>
      </c>
      <c r="AY19">
        <f t="shared" si="8"/>
        <v>5</v>
      </c>
      <c r="AZ19">
        <f t="shared" si="9"/>
        <v>30</v>
      </c>
      <c r="BA19">
        <f t="shared" si="10"/>
        <v>30</v>
      </c>
      <c r="BB19" s="28">
        <v>50000</v>
      </c>
      <c r="BC19" s="29">
        <f t="shared" si="11"/>
        <v>1666.6666666666667</v>
      </c>
      <c r="BD19" s="28">
        <f t="shared" si="12"/>
        <v>0</v>
      </c>
      <c r="BE19" s="28">
        <f t="shared" si="13"/>
        <v>50000</v>
      </c>
    </row>
    <row r="20" spans="4:59" ht="15.6" x14ac:dyDescent="0.3">
      <c r="D20" s="42"/>
      <c r="E20" s="42"/>
      <c r="F20" s="42"/>
      <c r="G20" s="59">
        <v>12</v>
      </c>
      <c r="H20" s="10">
        <v>1012</v>
      </c>
      <c r="I20" s="11" t="s">
        <v>14</v>
      </c>
      <c r="J20" s="49">
        <f t="shared" si="3"/>
        <v>5</v>
      </c>
      <c r="K20" s="2" t="s">
        <v>43</v>
      </c>
      <c r="L20" s="2" t="str">
        <f t="shared" si="15"/>
        <v>WO</v>
      </c>
      <c r="M20" s="2" t="s">
        <v>43</v>
      </c>
      <c r="N20" s="2" t="s">
        <v>43</v>
      </c>
      <c r="O20" s="48" t="s">
        <v>41</v>
      </c>
      <c r="P20" s="2" t="s">
        <v>43</v>
      </c>
      <c r="Q20" s="2" t="s">
        <v>43</v>
      </c>
      <c r="R20" s="2" t="s">
        <v>43</v>
      </c>
      <c r="S20" s="2" t="str">
        <f t="shared" si="15"/>
        <v>WO</v>
      </c>
      <c r="T20" s="2" t="s">
        <v>43</v>
      </c>
      <c r="U20" s="2" t="s">
        <v>43</v>
      </c>
      <c r="V20" s="2" t="s">
        <v>44</v>
      </c>
      <c r="W20" s="2" t="s">
        <v>43</v>
      </c>
      <c r="X20" s="48" t="s">
        <v>41</v>
      </c>
      <c r="Y20" s="2" t="s">
        <v>43</v>
      </c>
      <c r="Z20" s="2" t="str">
        <f t="shared" si="15"/>
        <v>WO</v>
      </c>
      <c r="AA20" s="2" t="s">
        <v>43</v>
      </c>
      <c r="AB20" s="2" t="s">
        <v>43</v>
      </c>
      <c r="AC20" s="2" t="s">
        <v>43</v>
      </c>
      <c r="AD20" s="2" t="s">
        <v>43</v>
      </c>
      <c r="AE20" s="2" t="s">
        <v>43</v>
      </c>
      <c r="AF20" s="2" t="s">
        <v>43</v>
      </c>
      <c r="AG20" s="2" t="str">
        <f t="shared" si="14"/>
        <v>WO</v>
      </c>
      <c r="AH20" s="2" t="s">
        <v>43</v>
      </c>
      <c r="AI20" s="2" t="s">
        <v>43</v>
      </c>
      <c r="AJ20" s="2" t="s">
        <v>43</v>
      </c>
      <c r="AK20" s="2" t="s">
        <v>43</v>
      </c>
      <c r="AL20" s="2" t="s">
        <v>43</v>
      </c>
      <c r="AM20" s="2" t="s">
        <v>43</v>
      </c>
      <c r="AN20" s="2" t="str">
        <f t="shared" si="14"/>
        <v>WO</v>
      </c>
      <c r="AO20" s="76"/>
      <c r="AP20" s="42"/>
      <c r="AQ20" s="42"/>
      <c r="AR20" s="3">
        <v>12</v>
      </c>
      <c r="AS20" s="3">
        <v>1012</v>
      </c>
      <c r="AT20" s="3" t="str">
        <f t="shared" si="4"/>
        <v>November</v>
      </c>
      <c r="AU20" s="36" t="s">
        <v>14</v>
      </c>
      <c r="AV20">
        <f t="shared" si="5"/>
        <v>22</v>
      </c>
      <c r="AW20">
        <f t="shared" si="6"/>
        <v>1</v>
      </c>
      <c r="AX20">
        <f t="shared" si="7"/>
        <v>2</v>
      </c>
      <c r="AY20">
        <f t="shared" si="8"/>
        <v>5</v>
      </c>
      <c r="AZ20">
        <f t="shared" si="9"/>
        <v>30</v>
      </c>
      <c r="BA20">
        <f t="shared" si="10"/>
        <v>29</v>
      </c>
      <c r="BB20" s="28">
        <v>29000</v>
      </c>
      <c r="BC20" s="29">
        <f t="shared" si="11"/>
        <v>966.66666666666663</v>
      </c>
      <c r="BD20" s="28">
        <f t="shared" si="12"/>
        <v>966.66666666666663</v>
      </c>
      <c r="BE20" s="28">
        <f t="shared" si="13"/>
        <v>28033.333333333332</v>
      </c>
    </row>
    <row r="21" spans="4:59" ht="15.6" x14ac:dyDescent="0.3">
      <c r="D21" s="42"/>
      <c r="E21" s="42"/>
      <c r="F21" s="42"/>
      <c r="G21" s="59">
        <v>13</v>
      </c>
      <c r="H21" s="10">
        <v>1013</v>
      </c>
      <c r="I21" s="11" t="s">
        <v>15</v>
      </c>
      <c r="J21" s="49">
        <f t="shared" si="3"/>
        <v>5</v>
      </c>
      <c r="K21" s="2" t="s">
        <v>43</v>
      </c>
      <c r="L21" s="2" t="str">
        <f t="shared" si="15"/>
        <v>WO</v>
      </c>
      <c r="M21" s="2" t="s">
        <v>43</v>
      </c>
      <c r="N21" s="2" t="s">
        <v>43</v>
      </c>
      <c r="O21" s="48" t="s">
        <v>41</v>
      </c>
      <c r="P21" s="2" t="s">
        <v>43</v>
      </c>
      <c r="Q21" s="2" t="s">
        <v>43</v>
      </c>
      <c r="R21" s="2" t="s">
        <v>43</v>
      </c>
      <c r="S21" s="2" t="str">
        <f t="shared" si="15"/>
        <v>WO</v>
      </c>
      <c r="T21" s="2" t="s">
        <v>43</v>
      </c>
      <c r="U21" s="2" t="s">
        <v>43</v>
      </c>
      <c r="V21" s="2" t="s">
        <v>43</v>
      </c>
      <c r="W21" s="2" t="s">
        <v>43</v>
      </c>
      <c r="X21" s="48" t="s">
        <v>41</v>
      </c>
      <c r="Y21" s="2" t="s">
        <v>43</v>
      </c>
      <c r="Z21" s="2" t="str">
        <f t="shared" si="15"/>
        <v>WO</v>
      </c>
      <c r="AA21" s="2" t="s">
        <v>43</v>
      </c>
      <c r="AB21" s="2" t="s">
        <v>43</v>
      </c>
      <c r="AC21" s="2" t="s">
        <v>43</v>
      </c>
      <c r="AD21" s="2" t="s">
        <v>43</v>
      </c>
      <c r="AE21" s="2" t="s">
        <v>43</v>
      </c>
      <c r="AF21" s="2" t="s">
        <v>43</v>
      </c>
      <c r="AG21" s="2" t="str">
        <f t="shared" si="14"/>
        <v>WO</v>
      </c>
      <c r="AH21" s="2" t="s">
        <v>44</v>
      </c>
      <c r="AI21" s="2" t="s">
        <v>43</v>
      </c>
      <c r="AJ21" s="2" t="s">
        <v>43</v>
      </c>
      <c r="AK21" s="2" t="s">
        <v>43</v>
      </c>
      <c r="AL21" s="2" t="s">
        <v>43</v>
      </c>
      <c r="AM21" s="2" t="s">
        <v>43</v>
      </c>
      <c r="AN21" s="2" t="str">
        <f t="shared" si="14"/>
        <v>WO</v>
      </c>
      <c r="AO21" s="76"/>
      <c r="AP21" s="42"/>
      <c r="AQ21" s="42"/>
      <c r="AR21" s="3">
        <v>13</v>
      </c>
      <c r="AS21" s="3">
        <v>1013</v>
      </c>
      <c r="AT21" s="3" t="str">
        <f t="shared" si="4"/>
        <v>November</v>
      </c>
      <c r="AU21" s="36" t="s">
        <v>15</v>
      </c>
      <c r="AV21">
        <f t="shared" si="5"/>
        <v>22</v>
      </c>
      <c r="AW21">
        <f t="shared" si="6"/>
        <v>1</v>
      </c>
      <c r="AX21">
        <f t="shared" si="7"/>
        <v>2</v>
      </c>
      <c r="AY21">
        <f t="shared" si="8"/>
        <v>5</v>
      </c>
      <c r="AZ21">
        <f t="shared" si="9"/>
        <v>30</v>
      </c>
      <c r="BA21">
        <f t="shared" si="10"/>
        <v>29</v>
      </c>
      <c r="BB21" s="28">
        <v>37000</v>
      </c>
      <c r="BC21" s="29">
        <f t="shared" si="11"/>
        <v>1233.3333333333333</v>
      </c>
      <c r="BD21" s="28">
        <f t="shared" si="12"/>
        <v>1233.3333333333333</v>
      </c>
      <c r="BE21" s="28">
        <f t="shared" si="13"/>
        <v>35766.666666666664</v>
      </c>
    </row>
    <row r="22" spans="4:59" ht="15.6" x14ac:dyDescent="0.3">
      <c r="D22" s="42"/>
      <c r="E22" s="42"/>
      <c r="F22" s="42"/>
      <c r="G22" s="59">
        <v>14</v>
      </c>
      <c r="H22" s="10">
        <v>1014</v>
      </c>
      <c r="I22" s="11" t="s">
        <v>16</v>
      </c>
      <c r="J22" s="49">
        <f t="shared" si="3"/>
        <v>5</v>
      </c>
      <c r="K22" s="2" t="s">
        <v>43</v>
      </c>
      <c r="L22" s="2" t="str">
        <f t="shared" si="15"/>
        <v>WO</v>
      </c>
      <c r="M22" s="2" t="s">
        <v>43</v>
      </c>
      <c r="N22" s="2" t="s">
        <v>43</v>
      </c>
      <c r="O22" s="48" t="s">
        <v>41</v>
      </c>
      <c r="P22" s="2" t="s">
        <v>43</v>
      </c>
      <c r="Q22" s="2" t="s">
        <v>43</v>
      </c>
      <c r="R22" s="2" t="s">
        <v>43</v>
      </c>
      <c r="S22" s="2" t="str">
        <f t="shared" si="15"/>
        <v>WO</v>
      </c>
      <c r="T22" s="2" t="s">
        <v>43</v>
      </c>
      <c r="U22" s="2" t="s">
        <v>43</v>
      </c>
      <c r="V22" s="2" t="s">
        <v>43</v>
      </c>
      <c r="W22" s="2" t="s">
        <v>43</v>
      </c>
      <c r="X22" s="48" t="s">
        <v>41</v>
      </c>
      <c r="Y22" s="2" t="s">
        <v>43</v>
      </c>
      <c r="Z22" s="2" t="str">
        <f t="shared" si="15"/>
        <v>WO</v>
      </c>
      <c r="AA22" s="2" t="s">
        <v>43</v>
      </c>
      <c r="AB22" s="2" t="s">
        <v>43</v>
      </c>
      <c r="AC22" s="2" t="s">
        <v>43</v>
      </c>
      <c r="AD22" s="2" t="s">
        <v>43</v>
      </c>
      <c r="AE22" s="2" t="s">
        <v>43</v>
      </c>
      <c r="AF22" s="2" t="s">
        <v>43</v>
      </c>
      <c r="AG22" s="2" t="str">
        <f t="shared" si="14"/>
        <v>WO</v>
      </c>
      <c r="AH22" s="2" t="s">
        <v>43</v>
      </c>
      <c r="AI22" s="2" t="s">
        <v>43</v>
      </c>
      <c r="AJ22" s="2" t="s">
        <v>43</v>
      </c>
      <c r="AK22" s="2" t="s">
        <v>43</v>
      </c>
      <c r="AL22" s="2" t="s">
        <v>43</v>
      </c>
      <c r="AM22" s="2" t="s">
        <v>43</v>
      </c>
      <c r="AN22" s="2" t="str">
        <f t="shared" si="14"/>
        <v>WO</v>
      </c>
      <c r="AO22" s="76"/>
      <c r="AP22" s="42"/>
      <c r="AQ22" s="42"/>
      <c r="AR22" s="3">
        <v>14</v>
      </c>
      <c r="AS22" s="3">
        <v>1014</v>
      </c>
      <c r="AT22" s="3" t="str">
        <f t="shared" si="4"/>
        <v>November</v>
      </c>
      <c r="AU22" s="36" t="s">
        <v>16</v>
      </c>
      <c r="AV22">
        <f t="shared" si="5"/>
        <v>23</v>
      </c>
      <c r="AW22">
        <f t="shared" si="6"/>
        <v>0</v>
      </c>
      <c r="AX22">
        <f t="shared" si="7"/>
        <v>2</v>
      </c>
      <c r="AY22">
        <f t="shared" si="8"/>
        <v>5</v>
      </c>
      <c r="AZ22">
        <f t="shared" si="9"/>
        <v>30</v>
      </c>
      <c r="BA22">
        <f t="shared" si="10"/>
        <v>30</v>
      </c>
      <c r="BB22" s="28">
        <v>41000</v>
      </c>
      <c r="BC22" s="29">
        <f t="shared" si="11"/>
        <v>1366.6666666666667</v>
      </c>
      <c r="BD22" s="28">
        <f t="shared" si="12"/>
        <v>0</v>
      </c>
      <c r="BE22" s="28">
        <f t="shared" si="13"/>
        <v>41000</v>
      </c>
    </row>
    <row r="23" spans="4:59" ht="15.6" x14ac:dyDescent="0.3">
      <c r="D23" s="42"/>
      <c r="E23" s="42"/>
      <c r="F23" s="42"/>
      <c r="G23" s="59">
        <v>15</v>
      </c>
      <c r="H23" s="10">
        <v>1015</v>
      </c>
      <c r="I23" s="11" t="s">
        <v>17</v>
      </c>
      <c r="J23" s="49">
        <f t="shared" si="3"/>
        <v>5</v>
      </c>
      <c r="K23" s="2" t="s">
        <v>43</v>
      </c>
      <c r="L23" s="2" t="str">
        <f t="shared" si="15"/>
        <v>WO</v>
      </c>
      <c r="M23" s="2" t="s">
        <v>43</v>
      </c>
      <c r="N23" s="2" t="s">
        <v>43</v>
      </c>
      <c r="O23" s="48" t="s">
        <v>41</v>
      </c>
      <c r="P23" s="2" t="s">
        <v>43</v>
      </c>
      <c r="Q23" s="2" t="s">
        <v>43</v>
      </c>
      <c r="R23" s="2" t="s">
        <v>43</v>
      </c>
      <c r="S23" s="2" t="str">
        <f t="shared" si="15"/>
        <v>WO</v>
      </c>
      <c r="T23" s="2" t="s">
        <v>43</v>
      </c>
      <c r="U23" s="2" t="s">
        <v>43</v>
      </c>
      <c r="V23" s="2" t="s">
        <v>43</v>
      </c>
      <c r="W23" s="2" t="s">
        <v>43</v>
      </c>
      <c r="X23" s="48" t="s">
        <v>41</v>
      </c>
      <c r="Y23" s="2" t="s">
        <v>43</v>
      </c>
      <c r="Z23" s="2" t="str">
        <f t="shared" si="15"/>
        <v>WO</v>
      </c>
      <c r="AA23" s="2" t="s">
        <v>43</v>
      </c>
      <c r="AB23" s="2" t="s">
        <v>43</v>
      </c>
      <c r="AC23" s="2" t="s">
        <v>43</v>
      </c>
      <c r="AD23" s="2" t="s">
        <v>43</v>
      </c>
      <c r="AE23" s="2" t="s">
        <v>43</v>
      </c>
      <c r="AF23" s="2" t="s">
        <v>43</v>
      </c>
      <c r="AG23" s="2" t="str">
        <f t="shared" si="14"/>
        <v>WO</v>
      </c>
      <c r="AH23" s="2" t="s">
        <v>43</v>
      </c>
      <c r="AI23" s="2" t="s">
        <v>43</v>
      </c>
      <c r="AJ23" s="2" t="s">
        <v>43</v>
      </c>
      <c r="AK23" s="2" t="s">
        <v>43</v>
      </c>
      <c r="AL23" s="2" t="s">
        <v>43</v>
      </c>
      <c r="AM23" s="2" t="s">
        <v>43</v>
      </c>
      <c r="AN23" s="2" t="str">
        <f t="shared" si="14"/>
        <v>WO</v>
      </c>
      <c r="AO23" s="76"/>
      <c r="AP23" s="42"/>
      <c r="AQ23" s="42"/>
      <c r="AR23" s="3">
        <v>15</v>
      </c>
      <c r="AS23" s="3">
        <v>1015</v>
      </c>
      <c r="AT23" s="3" t="str">
        <f t="shared" si="4"/>
        <v>November</v>
      </c>
      <c r="AU23" s="36" t="s">
        <v>17</v>
      </c>
      <c r="AV23">
        <f t="shared" si="5"/>
        <v>23</v>
      </c>
      <c r="AW23">
        <f t="shared" si="6"/>
        <v>0</v>
      </c>
      <c r="AX23">
        <f t="shared" si="7"/>
        <v>2</v>
      </c>
      <c r="AY23">
        <f t="shared" si="8"/>
        <v>5</v>
      </c>
      <c r="AZ23">
        <f t="shared" si="9"/>
        <v>30</v>
      </c>
      <c r="BA23">
        <f t="shared" si="10"/>
        <v>30</v>
      </c>
      <c r="BB23" s="28">
        <v>45000</v>
      </c>
      <c r="BC23" s="29">
        <f t="shared" si="11"/>
        <v>1500</v>
      </c>
      <c r="BD23" s="28">
        <f t="shared" si="12"/>
        <v>0</v>
      </c>
      <c r="BE23" s="28">
        <f t="shared" si="13"/>
        <v>45000</v>
      </c>
    </row>
    <row r="24" spans="4:59" ht="15.6" x14ac:dyDescent="0.3">
      <c r="D24" s="42"/>
      <c r="E24" s="42"/>
      <c r="F24" s="42"/>
      <c r="G24" s="59">
        <v>16</v>
      </c>
      <c r="H24" s="10">
        <v>1016</v>
      </c>
      <c r="I24" s="11" t="s">
        <v>18</v>
      </c>
      <c r="J24" s="49">
        <f t="shared" si="3"/>
        <v>5</v>
      </c>
      <c r="K24" s="2" t="s">
        <v>43</v>
      </c>
      <c r="L24" s="2" t="str">
        <f t="shared" si="15"/>
        <v>WO</v>
      </c>
      <c r="M24" s="2" t="s">
        <v>44</v>
      </c>
      <c r="N24" s="2" t="s">
        <v>43</v>
      </c>
      <c r="O24" s="48" t="s">
        <v>41</v>
      </c>
      <c r="P24" s="2" t="s">
        <v>43</v>
      </c>
      <c r="Q24" s="2" t="s">
        <v>43</v>
      </c>
      <c r="R24" s="2" t="s">
        <v>43</v>
      </c>
      <c r="S24" s="2" t="str">
        <f t="shared" si="15"/>
        <v>WO</v>
      </c>
      <c r="T24" s="2" t="s">
        <v>43</v>
      </c>
      <c r="U24" s="2" t="s">
        <v>43</v>
      </c>
      <c r="V24" s="2" t="s">
        <v>43</v>
      </c>
      <c r="W24" s="2" t="s">
        <v>43</v>
      </c>
      <c r="X24" s="48" t="s">
        <v>41</v>
      </c>
      <c r="Y24" s="2" t="s">
        <v>43</v>
      </c>
      <c r="Z24" s="2" t="str">
        <f t="shared" si="15"/>
        <v>WO</v>
      </c>
      <c r="AA24" s="2" t="s">
        <v>44</v>
      </c>
      <c r="AB24" s="2" t="s">
        <v>43</v>
      </c>
      <c r="AC24" s="2" t="s">
        <v>43</v>
      </c>
      <c r="AD24" s="2" t="s">
        <v>43</v>
      </c>
      <c r="AE24" s="2" t="s">
        <v>43</v>
      </c>
      <c r="AF24" s="2" t="s">
        <v>43</v>
      </c>
      <c r="AG24" s="2" t="str">
        <f t="shared" si="14"/>
        <v>WO</v>
      </c>
      <c r="AH24" s="2" t="s">
        <v>43</v>
      </c>
      <c r="AI24" s="2" t="s">
        <v>43</v>
      </c>
      <c r="AJ24" s="2" t="s">
        <v>43</v>
      </c>
      <c r="AK24" s="2" t="s">
        <v>43</v>
      </c>
      <c r="AL24" s="2" t="s">
        <v>43</v>
      </c>
      <c r="AM24" s="2" t="s">
        <v>43</v>
      </c>
      <c r="AN24" s="2" t="str">
        <f t="shared" si="14"/>
        <v>WO</v>
      </c>
      <c r="AO24" s="76"/>
      <c r="AP24" s="42"/>
      <c r="AQ24" s="42"/>
      <c r="AR24" s="3">
        <v>16</v>
      </c>
      <c r="AS24" s="3">
        <v>1016</v>
      </c>
      <c r="AT24" s="3" t="str">
        <f t="shared" si="4"/>
        <v>November</v>
      </c>
      <c r="AU24" s="36" t="s">
        <v>18</v>
      </c>
      <c r="AV24">
        <f t="shared" si="5"/>
        <v>21</v>
      </c>
      <c r="AW24">
        <f t="shared" si="6"/>
        <v>2</v>
      </c>
      <c r="AX24">
        <f t="shared" si="7"/>
        <v>2</v>
      </c>
      <c r="AY24">
        <f t="shared" si="8"/>
        <v>5</v>
      </c>
      <c r="AZ24">
        <f t="shared" si="9"/>
        <v>30</v>
      </c>
      <c r="BA24">
        <f t="shared" si="10"/>
        <v>28</v>
      </c>
      <c r="BB24" s="28">
        <v>21000</v>
      </c>
      <c r="BC24" s="29">
        <f t="shared" si="11"/>
        <v>700</v>
      </c>
      <c r="BD24" s="28">
        <f t="shared" si="12"/>
        <v>1400</v>
      </c>
      <c r="BE24" s="28">
        <f t="shared" si="13"/>
        <v>19600</v>
      </c>
    </row>
    <row r="25" spans="4:59" ht="15.6" x14ac:dyDescent="0.3">
      <c r="D25" s="42"/>
      <c r="E25" s="42"/>
      <c r="F25" s="42"/>
      <c r="G25" s="59">
        <v>17</v>
      </c>
      <c r="H25" s="10">
        <v>1017</v>
      </c>
      <c r="I25" s="11" t="s">
        <v>19</v>
      </c>
      <c r="J25" s="49">
        <f t="shared" si="3"/>
        <v>5</v>
      </c>
      <c r="K25" s="2" t="s">
        <v>43</v>
      </c>
      <c r="L25" s="2" t="str">
        <f t="shared" si="15"/>
        <v>WO</v>
      </c>
      <c r="M25" s="2" t="s">
        <v>43</v>
      </c>
      <c r="N25" s="2" t="s">
        <v>43</v>
      </c>
      <c r="O25" s="48" t="s">
        <v>41</v>
      </c>
      <c r="P25" s="2" t="s">
        <v>43</v>
      </c>
      <c r="Q25" s="2" t="s">
        <v>43</v>
      </c>
      <c r="R25" s="2" t="s">
        <v>43</v>
      </c>
      <c r="S25" s="2" t="str">
        <f t="shared" si="15"/>
        <v>WO</v>
      </c>
      <c r="T25" s="2" t="s">
        <v>43</v>
      </c>
      <c r="U25" s="2" t="s">
        <v>44</v>
      </c>
      <c r="V25" s="2" t="s">
        <v>43</v>
      </c>
      <c r="W25" s="2" t="s">
        <v>43</v>
      </c>
      <c r="X25" s="48" t="s">
        <v>41</v>
      </c>
      <c r="Y25" s="2" t="s">
        <v>43</v>
      </c>
      <c r="Z25" s="2" t="str">
        <f t="shared" si="15"/>
        <v>WO</v>
      </c>
      <c r="AA25" s="2" t="s">
        <v>43</v>
      </c>
      <c r="AB25" s="2" t="s">
        <v>43</v>
      </c>
      <c r="AC25" s="2" t="s">
        <v>43</v>
      </c>
      <c r="AD25" s="2" t="s">
        <v>43</v>
      </c>
      <c r="AE25" s="2" t="s">
        <v>43</v>
      </c>
      <c r="AF25" s="2" t="s">
        <v>43</v>
      </c>
      <c r="AG25" s="2" t="str">
        <f t="shared" si="14"/>
        <v>WO</v>
      </c>
      <c r="AH25" s="2" t="s">
        <v>43</v>
      </c>
      <c r="AI25" s="2" t="s">
        <v>43</v>
      </c>
      <c r="AJ25" s="2" t="s">
        <v>43</v>
      </c>
      <c r="AK25" s="2" t="s">
        <v>43</v>
      </c>
      <c r="AL25" s="2" t="s">
        <v>43</v>
      </c>
      <c r="AM25" s="2" t="s">
        <v>43</v>
      </c>
      <c r="AN25" s="2" t="str">
        <f t="shared" si="14"/>
        <v>WO</v>
      </c>
      <c r="AO25" s="76"/>
      <c r="AP25" s="42"/>
      <c r="AQ25" s="42"/>
      <c r="AR25" s="3">
        <v>17</v>
      </c>
      <c r="AS25" s="3">
        <v>1017</v>
      </c>
      <c r="AT25" s="3" t="str">
        <f t="shared" si="4"/>
        <v>November</v>
      </c>
      <c r="AU25" s="36" t="s">
        <v>19</v>
      </c>
      <c r="AV25">
        <f t="shared" si="5"/>
        <v>22</v>
      </c>
      <c r="AW25">
        <f t="shared" si="6"/>
        <v>1</v>
      </c>
      <c r="AX25">
        <f t="shared" si="7"/>
        <v>2</v>
      </c>
      <c r="AY25">
        <f t="shared" si="8"/>
        <v>5</v>
      </c>
      <c r="AZ25">
        <f t="shared" si="9"/>
        <v>30</v>
      </c>
      <c r="BA25">
        <f t="shared" si="10"/>
        <v>29</v>
      </c>
      <c r="BB25" s="28">
        <v>26000</v>
      </c>
      <c r="BC25" s="29">
        <f t="shared" si="11"/>
        <v>866.66666666666663</v>
      </c>
      <c r="BD25" s="28">
        <f t="shared" si="12"/>
        <v>866.66666666666663</v>
      </c>
      <c r="BE25" s="28">
        <f t="shared" si="13"/>
        <v>25133.333333333332</v>
      </c>
    </row>
    <row r="26" spans="4:59" ht="15.6" x14ac:dyDescent="0.3">
      <c r="D26" s="42"/>
      <c r="E26" s="42"/>
      <c r="F26" s="42"/>
      <c r="G26" s="59">
        <v>18</v>
      </c>
      <c r="H26" s="10">
        <v>1018</v>
      </c>
      <c r="I26" s="11" t="s">
        <v>20</v>
      </c>
      <c r="J26" s="49">
        <f t="shared" si="3"/>
        <v>5</v>
      </c>
      <c r="K26" s="2" t="s">
        <v>43</v>
      </c>
      <c r="L26" s="2" t="str">
        <f t="shared" si="15"/>
        <v>WO</v>
      </c>
      <c r="M26" s="2" t="s">
        <v>43</v>
      </c>
      <c r="N26" s="2" t="s">
        <v>43</v>
      </c>
      <c r="O26" s="48" t="s">
        <v>41</v>
      </c>
      <c r="P26" s="2" t="s">
        <v>43</v>
      </c>
      <c r="Q26" s="2" t="s">
        <v>43</v>
      </c>
      <c r="R26" s="2" t="s">
        <v>43</v>
      </c>
      <c r="S26" s="2" t="str">
        <f t="shared" si="15"/>
        <v>WO</v>
      </c>
      <c r="T26" s="2" t="s">
        <v>43</v>
      </c>
      <c r="U26" s="2" t="s">
        <v>43</v>
      </c>
      <c r="V26" s="2" t="s">
        <v>43</v>
      </c>
      <c r="W26" s="2" t="s">
        <v>43</v>
      </c>
      <c r="X26" s="48" t="s">
        <v>41</v>
      </c>
      <c r="Y26" s="2" t="s">
        <v>43</v>
      </c>
      <c r="Z26" s="2" t="str">
        <f t="shared" si="15"/>
        <v>WO</v>
      </c>
      <c r="AA26" s="2" t="s">
        <v>43</v>
      </c>
      <c r="AB26" s="2" t="s">
        <v>43</v>
      </c>
      <c r="AC26" s="2" t="s">
        <v>43</v>
      </c>
      <c r="AD26" s="2" t="s">
        <v>43</v>
      </c>
      <c r="AE26" s="2" t="s">
        <v>43</v>
      </c>
      <c r="AF26" s="2" t="s">
        <v>43</v>
      </c>
      <c r="AG26" s="2" t="str">
        <f t="shared" si="14"/>
        <v>WO</v>
      </c>
      <c r="AH26" s="2" t="s">
        <v>43</v>
      </c>
      <c r="AI26" s="2" t="s">
        <v>43</v>
      </c>
      <c r="AJ26" s="2" t="s">
        <v>43</v>
      </c>
      <c r="AK26" s="2" t="s">
        <v>43</v>
      </c>
      <c r="AL26" s="2" t="s">
        <v>43</v>
      </c>
      <c r="AM26" s="2" t="s">
        <v>43</v>
      </c>
      <c r="AN26" s="2" t="str">
        <f t="shared" si="14"/>
        <v>WO</v>
      </c>
      <c r="AO26" s="76"/>
      <c r="AP26" s="42"/>
      <c r="AQ26" s="42"/>
      <c r="AR26" s="3">
        <v>18</v>
      </c>
      <c r="AS26" s="3">
        <v>1018</v>
      </c>
      <c r="AT26" s="3" t="str">
        <f t="shared" si="4"/>
        <v>November</v>
      </c>
      <c r="AU26" s="36" t="s">
        <v>20</v>
      </c>
      <c r="AV26">
        <f t="shared" si="5"/>
        <v>23</v>
      </c>
      <c r="AW26">
        <f t="shared" si="6"/>
        <v>0</v>
      </c>
      <c r="AX26">
        <f t="shared" si="7"/>
        <v>2</v>
      </c>
      <c r="AY26">
        <f t="shared" si="8"/>
        <v>5</v>
      </c>
      <c r="AZ26">
        <f t="shared" si="9"/>
        <v>30</v>
      </c>
      <c r="BA26">
        <f t="shared" si="10"/>
        <v>30</v>
      </c>
      <c r="BB26" s="28">
        <v>35000</v>
      </c>
      <c r="BC26" s="29">
        <f t="shared" si="11"/>
        <v>1166.6666666666667</v>
      </c>
      <c r="BD26" s="28">
        <f t="shared" si="12"/>
        <v>0</v>
      </c>
      <c r="BE26" s="28">
        <f t="shared" si="13"/>
        <v>35000</v>
      </c>
    </row>
    <row r="27" spans="4:59" ht="15.6" x14ac:dyDescent="0.3">
      <c r="D27" s="42"/>
      <c r="E27" s="42"/>
      <c r="F27" s="42"/>
      <c r="G27" s="59">
        <v>19</v>
      </c>
      <c r="H27" s="10">
        <v>1019</v>
      </c>
      <c r="I27" s="11" t="s">
        <v>21</v>
      </c>
      <c r="J27" s="49">
        <f t="shared" si="3"/>
        <v>5</v>
      </c>
      <c r="K27" s="2" t="s">
        <v>43</v>
      </c>
      <c r="L27" s="2" t="str">
        <f t="shared" si="15"/>
        <v>WO</v>
      </c>
      <c r="M27" s="2" t="s">
        <v>43</v>
      </c>
      <c r="N27" s="2" t="s">
        <v>43</v>
      </c>
      <c r="O27" s="48" t="s">
        <v>41</v>
      </c>
      <c r="P27" s="2" t="s">
        <v>43</v>
      </c>
      <c r="Q27" s="2" t="s">
        <v>43</v>
      </c>
      <c r="R27" s="2" t="s">
        <v>43</v>
      </c>
      <c r="S27" s="2" t="str">
        <f t="shared" si="15"/>
        <v>WO</v>
      </c>
      <c r="T27" s="2" t="s">
        <v>43</v>
      </c>
      <c r="U27" s="2" t="s">
        <v>43</v>
      </c>
      <c r="V27" s="2" t="s">
        <v>43</v>
      </c>
      <c r="W27" s="2" t="s">
        <v>43</v>
      </c>
      <c r="X27" s="48" t="s">
        <v>41</v>
      </c>
      <c r="Y27" s="2" t="s">
        <v>43</v>
      </c>
      <c r="Z27" s="2" t="str">
        <f t="shared" si="15"/>
        <v>WO</v>
      </c>
      <c r="AA27" s="2" t="s">
        <v>43</v>
      </c>
      <c r="AB27" s="2" t="s">
        <v>43</v>
      </c>
      <c r="AC27" s="2" t="s">
        <v>43</v>
      </c>
      <c r="AD27" s="2" t="s">
        <v>44</v>
      </c>
      <c r="AE27" s="2" t="s">
        <v>43</v>
      </c>
      <c r="AF27" s="2" t="s">
        <v>43</v>
      </c>
      <c r="AG27" s="2" t="str">
        <f t="shared" si="14"/>
        <v>WO</v>
      </c>
      <c r="AH27" s="2" t="s">
        <v>43</v>
      </c>
      <c r="AI27" s="2" t="s">
        <v>43</v>
      </c>
      <c r="AJ27" s="2" t="s">
        <v>43</v>
      </c>
      <c r="AK27" s="2" t="s">
        <v>43</v>
      </c>
      <c r="AL27" s="2" t="s">
        <v>43</v>
      </c>
      <c r="AM27" s="2" t="s">
        <v>43</v>
      </c>
      <c r="AN27" s="2" t="str">
        <f t="shared" si="14"/>
        <v>WO</v>
      </c>
      <c r="AO27" s="76"/>
      <c r="AP27" s="42"/>
      <c r="AQ27" s="42"/>
      <c r="AR27" s="3">
        <v>19</v>
      </c>
      <c r="AS27" s="3">
        <v>1019</v>
      </c>
      <c r="AT27" s="3" t="str">
        <f t="shared" si="4"/>
        <v>November</v>
      </c>
      <c r="AU27" s="36" t="s">
        <v>21</v>
      </c>
      <c r="AV27">
        <f t="shared" si="5"/>
        <v>22</v>
      </c>
      <c r="AW27">
        <f t="shared" si="6"/>
        <v>1</v>
      </c>
      <c r="AX27">
        <f t="shared" si="7"/>
        <v>2</v>
      </c>
      <c r="AY27">
        <f t="shared" si="8"/>
        <v>5</v>
      </c>
      <c r="AZ27">
        <f t="shared" si="9"/>
        <v>30</v>
      </c>
      <c r="BA27">
        <f t="shared" si="10"/>
        <v>29</v>
      </c>
      <c r="BB27" s="28">
        <v>55000</v>
      </c>
      <c r="BC27" s="29">
        <f t="shared" si="11"/>
        <v>1833.3333333333333</v>
      </c>
      <c r="BD27" s="28">
        <f t="shared" si="12"/>
        <v>1833.3333333333333</v>
      </c>
      <c r="BE27" s="28">
        <f t="shared" si="13"/>
        <v>53166.666666666664</v>
      </c>
    </row>
    <row r="28" spans="4:59" ht="16.2" thickBot="1" x14ac:dyDescent="0.35">
      <c r="D28" s="42"/>
      <c r="E28" s="42"/>
      <c r="F28" s="42"/>
      <c r="G28" s="61">
        <v>20</v>
      </c>
      <c r="H28" s="62">
        <v>1020</v>
      </c>
      <c r="I28" s="63" t="s">
        <v>22</v>
      </c>
      <c r="J28" s="64">
        <f t="shared" si="3"/>
        <v>5</v>
      </c>
      <c r="K28" s="66" t="s">
        <v>43</v>
      </c>
      <c r="L28" s="66" t="str">
        <f t="shared" si="15"/>
        <v>WO</v>
      </c>
      <c r="M28" s="66" t="s">
        <v>43</v>
      </c>
      <c r="N28" s="66" t="s">
        <v>43</v>
      </c>
      <c r="O28" s="65" t="s">
        <v>41</v>
      </c>
      <c r="P28" s="66" t="s">
        <v>43</v>
      </c>
      <c r="Q28" s="66" t="s">
        <v>43</v>
      </c>
      <c r="R28" s="66" t="s">
        <v>43</v>
      </c>
      <c r="S28" s="66" t="str">
        <f t="shared" si="15"/>
        <v>WO</v>
      </c>
      <c r="T28" s="66" t="s">
        <v>43</v>
      </c>
      <c r="U28" s="66" t="s">
        <v>43</v>
      </c>
      <c r="V28" s="66" t="s">
        <v>43</v>
      </c>
      <c r="W28" s="66" t="s">
        <v>43</v>
      </c>
      <c r="X28" s="65" t="s">
        <v>41</v>
      </c>
      <c r="Y28" s="66" t="s">
        <v>43</v>
      </c>
      <c r="Z28" s="66" t="str">
        <f t="shared" si="15"/>
        <v>WO</v>
      </c>
      <c r="AA28" s="66" t="s">
        <v>43</v>
      </c>
      <c r="AB28" s="66" t="s">
        <v>43</v>
      </c>
      <c r="AC28" s="66" t="s">
        <v>43</v>
      </c>
      <c r="AD28" s="66" t="s">
        <v>43</v>
      </c>
      <c r="AE28" s="66" t="s">
        <v>43</v>
      </c>
      <c r="AF28" s="66" t="s">
        <v>43</v>
      </c>
      <c r="AG28" s="66" t="str">
        <f t="shared" si="14"/>
        <v>WO</v>
      </c>
      <c r="AH28" s="66" t="s">
        <v>43</v>
      </c>
      <c r="AI28" s="66" t="s">
        <v>43</v>
      </c>
      <c r="AJ28" s="66" t="s">
        <v>43</v>
      </c>
      <c r="AK28" s="66" t="s">
        <v>44</v>
      </c>
      <c r="AL28" s="66" t="s">
        <v>43</v>
      </c>
      <c r="AM28" s="66" t="s">
        <v>43</v>
      </c>
      <c r="AN28" s="66" t="str">
        <f t="shared" si="14"/>
        <v>WO</v>
      </c>
      <c r="AO28" s="77"/>
      <c r="AP28" s="42"/>
      <c r="AQ28" s="42"/>
      <c r="AR28" s="37">
        <v>20</v>
      </c>
      <c r="AS28" s="37">
        <v>1020</v>
      </c>
      <c r="AT28" s="37" t="str">
        <f t="shared" si="4"/>
        <v>November</v>
      </c>
      <c r="AU28" s="38" t="s">
        <v>22</v>
      </c>
      <c r="AV28" s="33">
        <f t="shared" si="5"/>
        <v>22</v>
      </c>
      <c r="AW28" s="33">
        <f t="shared" si="6"/>
        <v>1</v>
      </c>
      <c r="AX28" s="33">
        <f t="shared" si="7"/>
        <v>2</v>
      </c>
      <c r="AY28" s="33">
        <f t="shared" si="8"/>
        <v>5</v>
      </c>
      <c r="AZ28" s="33">
        <f t="shared" si="9"/>
        <v>30</v>
      </c>
      <c r="BA28" s="33">
        <f t="shared" si="10"/>
        <v>29</v>
      </c>
      <c r="BB28" s="34">
        <v>44000</v>
      </c>
      <c r="BC28" s="35">
        <f t="shared" si="11"/>
        <v>1466.6666666666667</v>
      </c>
      <c r="BD28" s="34">
        <f t="shared" si="12"/>
        <v>1466.6666666666667</v>
      </c>
      <c r="BE28" s="34">
        <f t="shared" si="13"/>
        <v>42533.333333333336</v>
      </c>
    </row>
    <row r="29" spans="4:59" x14ac:dyDescent="0.3"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</row>
    <row r="30" spans="4:59" x14ac:dyDescent="0.3"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</row>
    <row r="31" spans="4:59" x14ac:dyDescent="0.3"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</row>
    <row r="32" spans="4:59" x14ac:dyDescent="0.3"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</row>
    <row r="33" spans="4:59" x14ac:dyDescent="0.3"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</row>
    <row r="34" spans="4:59" x14ac:dyDescent="0.3"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4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</row>
    <row r="35" spans="4:59" x14ac:dyDescent="0.3"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</row>
    <row r="36" spans="4:59" x14ac:dyDescent="0.3"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</row>
    <row r="37" spans="4:59" x14ac:dyDescent="0.3"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</row>
    <row r="38" spans="4:59" x14ac:dyDescent="0.3"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</row>
    <row r="39" spans="4:59" x14ac:dyDescent="0.3"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</row>
    <row r="40" spans="4:59" x14ac:dyDescent="0.3"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</row>
    <row r="41" spans="4:59" x14ac:dyDescent="0.3"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</row>
    <row r="42" spans="4:59" x14ac:dyDescent="0.3"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</row>
    <row r="43" spans="4:59" x14ac:dyDescent="0.3"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</row>
    <row r="44" spans="4:59" x14ac:dyDescent="0.3"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</row>
  </sheetData>
  <mergeCells count="1">
    <mergeCell ref="G7:I7"/>
  </mergeCells>
  <conditionalFormatting sqref="K9:AO28">
    <cfRule type="containsText" dxfId="7" priority="1" operator="containsText" text="L">
      <formula>NOT(ISERROR(SEARCH("L",K9)))</formula>
    </cfRule>
    <cfRule type="containsText" dxfId="6" priority="2" operator="containsText" text="A">
      <formula>NOT(ISERROR(SEARCH("A",K9)))</formula>
    </cfRule>
    <cfRule type="containsText" dxfId="5" priority="3" operator="containsText" text="P">
      <formula>NOT(ISERROR(SEARCH("P",K9)))</formula>
    </cfRule>
    <cfRule type="containsText" dxfId="4" priority="4" operator="containsText" text="WO">
      <formula>NOT(ISERROR(SEARCH("WO",K9)))</formula>
    </cfRule>
  </conditionalFormatting>
  <dataValidations count="1">
    <dataValidation type="list" allowBlank="1" showInputMessage="1" showErrorMessage="1" sqref="K9:K28 AH9:AM28 M9:R28 AA9:AF28 T9:Y28" xr:uid="{83FD14B4-790F-4B70-BC38-B3045FFB9745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D48AFF-A431-43EB-9941-41B4FE8857E5}">
          <x14:formula1>
            <xm:f>Rough!$A$1:$A$12</xm:f>
          </x14:formula1>
          <xm:sqref>H5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9A13-46A1-4EEC-8C7A-8EAE3277A6D7}">
  <dimension ref="D1:BG44"/>
  <sheetViews>
    <sheetView topLeftCell="AL6" zoomScaleNormal="100" workbookViewId="0">
      <selection activeCell="AU17" sqref="AU17"/>
    </sheetView>
  </sheetViews>
  <sheetFormatPr defaultRowHeight="14.4" x14ac:dyDescent="0.3"/>
  <cols>
    <col min="7" max="7" width="9.6640625" customWidth="1"/>
    <col min="8" max="8" width="14.88671875" customWidth="1"/>
    <col min="9" max="9" width="20.21875" customWidth="1"/>
    <col min="10" max="10" width="9.88671875" bestFit="1" customWidth="1"/>
    <col min="11" max="11" width="5.44140625" bestFit="1" customWidth="1"/>
    <col min="12" max="12" width="5" bestFit="1" customWidth="1"/>
    <col min="13" max="13" width="5.33203125" bestFit="1" customWidth="1"/>
    <col min="14" max="14" width="5.109375" bestFit="1" customWidth="1"/>
    <col min="15" max="15" width="4" bestFit="1" customWidth="1"/>
    <col min="16" max="16" width="4.44140625" bestFit="1" customWidth="1"/>
    <col min="17" max="17" width="5.109375" bestFit="1" customWidth="1"/>
    <col min="18" max="18" width="5.44140625" bestFit="1" customWidth="1"/>
    <col min="19" max="19" width="5" bestFit="1" customWidth="1"/>
    <col min="20" max="20" width="5.33203125" bestFit="1" customWidth="1"/>
    <col min="21" max="21" width="5.109375" bestFit="1" customWidth="1"/>
    <col min="22" max="22" width="4" bestFit="1" customWidth="1"/>
    <col min="23" max="23" width="4.44140625" bestFit="1" customWidth="1"/>
    <col min="24" max="24" width="5.109375" bestFit="1" customWidth="1"/>
    <col min="25" max="25" width="5.44140625" bestFit="1" customWidth="1"/>
    <col min="26" max="26" width="5" bestFit="1" customWidth="1"/>
    <col min="27" max="27" width="5.33203125" bestFit="1" customWidth="1"/>
    <col min="28" max="28" width="5.109375" bestFit="1" customWidth="1"/>
    <col min="29" max="29" width="4" bestFit="1" customWidth="1"/>
    <col min="30" max="30" width="4.44140625" bestFit="1" customWidth="1"/>
    <col min="31" max="31" width="5.109375" bestFit="1" customWidth="1"/>
    <col min="32" max="32" width="5.44140625" bestFit="1" customWidth="1"/>
    <col min="33" max="33" width="5" bestFit="1" customWidth="1"/>
    <col min="34" max="34" width="5.33203125" bestFit="1" customWidth="1"/>
    <col min="35" max="35" width="5.109375" bestFit="1" customWidth="1"/>
    <col min="36" max="36" width="4" bestFit="1" customWidth="1"/>
    <col min="37" max="37" width="4.44140625" bestFit="1" customWidth="1"/>
    <col min="38" max="38" width="5.109375" bestFit="1" customWidth="1"/>
    <col min="39" max="39" width="5.44140625" bestFit="1" customWidth="1"/>
    <col min="40" max="40" width="5" bestFit="1" customWidth="1"/>
    <col min="41" max="41" width="5.33203125" bestFit="1" customWidth="1"/>
    <col min="44" max="44" width="7" customWidth="1"/>
    <col min="45" max="45" width="15.33203125" customWidth="1"/>
    <col min="46" max="46" width="12.5546875" customWidth="1"/>
    <col min="47" max="47" width="19" bestFit="1" customWidth="1"/>
    <col min="48" max="49" width="10.109375" customWidth="1"/>
    <col min="51" max="51" width="11.109375" customWidth="1"/>
    <col min="53" max="53" width="12.5546875" customWidth="1"/>
    <col min="54" max="54" width="12" bestFit="1" customWidth="1"/>
    <col min="55" max="55" width="16.77734375" customWidth="1"/>
    <col min="56" max="56" width="12.5546875" customWidth="1"/>
    <col min="57" max="57" width="14.44140625" customWidth="1"/>
  </cols>
  <sheetData>
    <row r="1" spans="4:59" x14ac:dyDescent="0.3">
      <c r="AQ1" s="42"/>
    </row>
    <row r="2" spans="4:59" x14ac:dyDescent="0.3">
      <c r="AQ2" s="42"/>
    </row>
    <row r="3" spans="4:59" x14ac:dyDescent="0.3">
      <c r="AQ3" s="42"/>
    </row>
    <row r="4" spans="4:59" x14ac:dyDescent="0.3">
      <c r="D4" s="42"/>
      <c r="E4" s="42"/>
      <c r="F4" s="42"/>
      <c r="G4" s="68"/>
      <c r="H4" s="68"/>
      <c r="I4" s="68">
        <f>(DATEDIF($H$5,$H$6,"D")+1)</f>
        <v>31</v>
      </c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</row>
    <row r="5" spans="4:59" x14ac:dyDescent="0.3">
      <c r="D5" s="42"/>
      <c r="E5" s="42"/>
      <c r="F5" s="42"/>
      <c r="G5" s="68" t="s">
        <v>26</v>
      </c>
      <c r="H5" s="69">
        <v>45992</v>
      </c>
      <c r="I5" s="68" t="str">
        <f>TEXT(H5,"MMMM")</f>
        <v>December</v>
      </c>
      <c r="J5" s="42"/>
      <c r="K5" s="42"/>
      <c r="L5" s="42"/>
      <c r="M5" s="43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</row>
    <row r="6" spans="4:59" ht="15" thickBot="1" x14ac:dyDescent="0.35">
      <c r="D6" s="42"/>
      <c r="E6" s="42"/>
      <c r="F6" s="42"/>
      <c r="G6" s="68" t="s">
        <v>27</v>
      </c>
      <c r="H6" s="69">
        <f>EOMONTH(H5,0)</f>
        <v>46022</v>
      </c>
      <c r="I6" s="68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</row>
    <row r="7" spans="4:59" ht="15.6" x14ac:dyDescent="0.3">
      <c r="D7" s="42"/>
      <c r="E7" s="42"/>
      <c r="F7" s="42"/>
      <c r="G7" s="83" t="s">
        <v>29</v>
      </c>
      <c r="H7" s="84"/>
      <c r="I7" s="84"/>
      <c r="J7" s="55" t="s">
        <v>28</v>
      </c>
      <c r="K7" s="55" t="str">
        <f>TEXT(K8,"DDD")</f>
        <v>Mon</v>
      </c>
      <c r="L7" s="55" t="str">
        <f t="shared" ref="L7:AO7" si="0">TEXT(L8,"DDD")</f>
        <v>Tue</v>
      </c>
      <c r="M7" s="55" t="str">
        <f t="shared" si="0"/>
        <v>Wed</v>
      </c>
      <c r="N7" s="55" t="str">
        <f t="shared" si="0"/>
        <v>Thu</v>
      </c>
      <c r="O7" s="55" t="str">
        <f t="shared" si="0"/>
        <v>Fri</v>
      </c>
      <c r="P7" s="55" t="str">
        <f t="shared" si="0"/>
        <v>Sat</v>
      </c>
      <c r="Q7" s="55" t="str">
        <f t="shared" si="0"/>
        <v>Sun</v>
      </c>
      <c r="R7" s="55" t="str">
        <f t="shared" si="0"/>
        <v>Mon</v>
      </c>
      <c r="S7" s="55" t="str">
        <f t="shared" si="0"/>
        <v>Tue</v>
      </c>
      <c r="T7" s="55" t="str">
        <f t="shared" si="0"/>
        <v>Wed</v>
      </c>
      <c r="U7" s="55" t="str">
        <f t="shared" si="0"/>
        <v>Thu</v>
      </c>
      <c r="V7" s="55" t="str">
        <f t="shared" si="0"/>
        <v>Fri</v>
      </c>
      <c r="W7" s="55" t="str">
        <f t="shared" si="0"/>
        <v>Sat</v>
      </c>
      <c r="X7" s="55" t="str">
        <f t="shared" si="0"/>
        <v>Sun</v>
      </c>
      <c r="Y7" s="55" t="str">
        <f t="shared" si="0"/>
        <v>Mon</v>
      </c>
      <c r="Z7" s="55" t="str">
        <f t="shared" si="0"/>
        <v>Tue</v>
      </c>
      <c r="AA7" s="55" t="str">
        <f t="shared" si="0"/>
        <v>Wed</v>
      </c>
      <c r="AB7" s="55" t="str">
        <f t="shared" si="0"/>
        <v>Thu</v>
      </c>
      <c r="AC7" s="55" t="str">
        <f t="shared" si="0"/>
        <v>Fri</v>
      </c>
      <c r="AD7" s="55" t="str">
        <f t="shared" si="0"/>
        <v>Sat</v>
      </c>
      <c r="AE7" s="55" t="str">
        <f t="shared" si="0"/>
        <v>Sun</v>
      </c>
      <c r="AF7" s="55" t="str">
        <f t="shared" si="0"/>
        <v>Mon</v>
      </c>
      <c r="AG7" s="55" t="str">
        <f t="shared" si="0"/>
        <v>Tue</v>
      </c>
      <c r="AH7" s="55" t="str">
        <f t="shared" si="0"/>
        <v>Wed</v>
      </c>
      <c r="AI7" s="55" t="str">
        <f t="shared" si="0"/>
        <v>Thu</v>
      </c>
      <c r="AJ7" s="55" t="str">
        <f t="shared" si="0"/>
        <v>Fri</v>
      </c>
      <c r="AK7" s="55" t="str">
        <f t="shared" si="0"/>
        <v>Sat</v>
      </c>
      <c r="AL7" s="55" t="str">
        <f t="shared" si="0"/>
        <v>Sun</v>
      </c>
      <c r="AM7" s="55" t="str">
        <f t="shared" si="0"/>
        <v>Mon</v>
      </c>
      <c r="AN7" s="55" t="str">
        <f t="shared" si="0"/>
        <v>Tue</v>
      </c>
      <c r="AO7" s="56" t="str">
        <f t="shared" si="0"/>
        <v>Wed</v>
      </c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</row>
    <row r="8" spans="4:59" ht="16.2" thickBot="1" x14ac:dyDescent="0.35">
      <c r="D8" s="42"/>
      <c r="E8" s="42"/>
      <c r="F8" s="42"/>
      <c r="G8" s="57" t="s">
        <v>0</v>
      </c>
      <c r="H8" s="7" t="s">
        <v>23</v>
      </c>
      <c r="I8" s="8" t="s">
        <v>24</v>
      </c>
      <c r="J8" s="45" t="s">
        <v>25</v>
      </c>
      <c r="K8" s="46">
        <f>H5</f>
        <v>45992</v>
      </c>
      <c r="L8" s="46">
        <f>IF(K8&lt;$H$6,K8+1,"")</f>
        <v>45993</v>
      </c>
      <c r="M8" s="46">
        <f t="shared" ref="M8:AO8" si="1">IF(L8&lt;$H$6,L8+1,"")</f>
        <v>45994</v>
      </c>
      <c r="N8" s="46">
        <f t="shared" si="1"/>
        <v>45995</v>
      </c>
      <c r="O8" s="46">
        <f t="shared" si="1"/>
        <v>45996</v>
      </c>
      <c r="P8" s="46">
        <f t="shared" si="1"/>
        <v>45997</v>
      </c>
      <c r="Q8" s="46">
        <f t="shared" si="1"/>
        <v>45998</v>
      </c>
      <c r="R8" s="46">
        <f t="shared" si="1"/>
        <v>45999</v>
      </c>
      <c r="S8" s="46">
        <f t="shared" si="1"/>
        <v>46000</v>
      </c>
      <c r="T8" s="46">
        <f t="shared" si="1"/>
        <v>46001</v>
      </c>
      <c r="U8" s="46">
        <f t="shared" si="1"/>
        <v>46002</v>
      </c>
      <c r="V8" s="46">
        <f t="shared" si="1"/>
        <v>46003</v>
      </c>
      <c r="W8" s="46">
        <f t="shared" si="1"/>
        <v>46004</v>
      </c>
      <c r="X8" s="46">
        <f t="shared" si="1"/>
        <v>46005</v>
      </c>
      <c r="Y8" s="46">
        <f t="shared" si="1"/>
        <v>46006</v>
      </c>
      <c r="Z8" s="46">
        <f t="shared" si="1"/>
        <v>46007</v>
      </c>
      <c r="AA8" s="46">
        <f t="shared" si="1"/>
        <v>46008</v>
      </c>
      <c r="AB8" s="46">
        <f t="shared" si="1"/>
        <v>46009</v>
      </c>
      <c r="AC8" s="46">
        <f>IF(AB8&lt;$H$6,AB8+1,"")</f>
        <v>46010</v>
      </c>
      <c r="AD8" s="46">
        <f t="shared" si="1"/>
        <v>46011</v>
      </c>
      <c r="AE8" s="46">
        <f t="shared" si="1"/>
        <v>46012</v>
      </c>
      <c r="AF8" s="46">
        <f t="shared" si="1"/>
        <v>46013</v>
      </c>
      <c r="AG8" s="46">
        <f t="shared" si="1"/>
        <v>46014</v>
      </c>
      <c r="AH8" s="46">
        <f t="shared" si="1"/>
        <v>46015</v>
      </c>
      <c r="AI8" s="46">
        <f t="shared" si="1"/>
        <v>46016</v>
      </c>
      <c r="AJ8" s="46">
        <f t="shared" si="1"/>
        <v>46017</v>
      </c>
      <c r="AK8" s="46">
        <f t="shared" si="1"/>
        <v>46018</v>
      </c>
      <c r="AL8" s="46">
        <f>IF(AK8&lt;$H$6,AK8+1,"")</f>
        <v>46019</v>
      </c>
      <c r="AM8" s="46">
        <f t="shared" si="1"/>
        <v>46020</v>
      </c>
      <c r="AN8" s="46">
        <f t="shared" si="1"/>
        <v>46021</v>
      </c>
      <c r="AO8" s="58">
        <f t="shared" si="1"/>
        <v>46022</v>
      </c>
      <c r="AP8" s="42"/>
      <c r="AQ8" s="42"/>
      <c r="AR8" s="27" t="s">
        <v>0</v>
      </c>
      <c r="AS8" s="27" t="s">
        <v>23</v>
      </c>
      <c r="AT8" s="27" t="s">
        <v>39</v>
      </c>
      <c r="AU8" s="39" t="s">
        <v>24</v>
      </c>
      <c r="AV8" s="40" t="s">
        <v>30</v>
      </c>
      <c r="AW8" s="41" t="s">
        <v>31</v>
      </c>
      <c r="AX8" s="41" t="s">
        <v>32</v>
      </c>
      <c r="AY8" s="41" t="s">
        <v>33</v>
      </c>
      <c r="AZ8" s="41" t="s">
        <v>28</v>
      </c>
      <c r="BA8" s="41" t="s">
        <v>34</v>
      </c>
      <c r="BB8" s="41" t="s">
        <v>35</v>
      </c>
      <c r="BC8" s="41" t="s">
        <v>36</v>
      </c>
      <c r="BD8" s="41" t="s">
        <v>37</v>
      </c>
      <c r="BE8" s="41" t="s">
        <v>38</v>
      </c>
    </row>
    <row r="9" spans="4:59" ht="15.6" x14ac:dyDescent="0.3">
      <c r="D9" s="42"/>
      <c r="E9" s="42"/>
      <c r="F9" s="42"/>
      <c r="G9" s="59">
        <v>1</v>
      </c>
      <c r="H9" s="10">
        <v>1001</v>
      </c>
      <c r="I9" s="11" t="s">
        <v>3</v>
      </c>
      <c r="J9" s="47">
        <f>COUNTIF($K$7:$AO$7,"sun")</f>
        <v>4</v>
      </c>
      <c r="K9" s="48" t="s">
        <v>43</v>
      </c>
      <c r="L9" s="48" t="s">
        <v>43</v>
      </c>
      <c r="M9" s="48" t="s">
        <v>43</v>
      </c>
      <c r="N9" s="48" t="s">
        <v>43</v>
      </c>
      <c r="O9" s="48" t="s">
        <v>41</v>
      </c>
      <c r="P9" s="48" t="s">
        <v>43</v>
      </c>
      <c r="Q9" s="48" t="str">
        <f t="shared" ref="Q9:AL17" si="2">IF(Q$7="sun","WO","")</f>
        <v>WO</v>
      </c>
      <c r="R9" s="48" t="s">
        <v>43</v>
      </c>
      <c r="S9" s="48" t="s">
        <v>43</v>
      </c>
      <c r="T9" s="48" t="s">
        <v>43</v>
      </c>
      <c r="U9" s="48" t="s">
        <v>43</v>
      </c>
      <c r="V9" s="48" t="s">
        <v>43</v>
      </c>
      <c r="W9" s="48" t="s">
        <v>43</v>
      </c>
      <c r="X9" s="48" t="str">
        <f t="shared" si="2"/>
        <v>WO</v>
      </c>
      <c r="Y9" s="48" t="s">
        <v>43</v>
      </c>
      <c r="Z9" s="48" t="s">
        <v>43</v>
      </c>
      <c r="AA9" s="48" t="s">
        <v>43</v>
      </c>
      <c r="AB9" s="48" t="s">
        <v>43</v>
      </c>
      <c r="AC9" s="48" t="s">
        <v>43</v>
      </c>
      <c r="AD9" s="48" t="s">
        <v>43</v>
      </c>
      <c r="AE9" s="48" t="str">
        <f t="shared" si="2"/>
        <v>WO</v>
      </c>
      <c r="AF9" s="48" t="s">
        <v>43</v>
      </c>
      <c r="AG9" s="48" t="s">
        <v>43</v>
      </c>
      <c r="AH9" s="48" t="s">
        <v>43</v>
      </c>
      <c r="AI9" s="48" t="s">
        <v>41</v>
      </c>
      <c r="AJ9" s="48" t="s">
        <v>43</v>
      </c>
      <c r="AK9" s="48" t="s">
        <v>43</v>
      </c>
      <c r="AL9" s="48" t="str">
        <f t="shared" si="2"/>
        <v>WO</v>
      </c>
      <c r="AM9" s="48" t="s">
        <v>43</v>
      </c>
      <c r="AN9" s="48" t="s">
        <v>43</v>
      </c>
      <c r="AO9" s="60" t="s">
        <v>43</v>
      </c>
      <c r="AP9" s="42"/>
      <c r="AQ9" s="42"/>
      <c r="AR9" s="3">
        <v>1</v>
      </c>
      <c r="AS9" s="3">
        <v>1001</v>
      </c>
      <c r="AT9" s="3" t="str">
        <f>$I$5</f>
        <v>December</v>
      </c>
      <c r="AU9" s="36" t="s">
        <v>3</v>
      </c>
      <c r="AV9" s="30">
        <f>COUNTIF($K9:$AO9,"P")</f>
        <v>25</v>
      </c>
      <c r="AW9" s="30">
        <f>COUNTIF($K9:$AO9,"A")</f>
        <v>0</v>
      </c>
      <c r="AX9" s="30">
        <f>COUNTIF($K9:$AO9,"L")</f>
        <v>2</v>
      </c>
      <c r="AY9" s="30">
        <f>$J$9</f>
        <v>4</v>
      </c>
      <c r="AZ9" s="30">
        <f>$I$4</f>
        <v>31</v>
      </c>
      <c r="BA9" s="30">
        <f>AZ9-AW9</f>
        <v>31</v>
      </c>
      <c r="BB9" s="31">
        <v>25000</v>
      </c>
      <c r="BC9" s="32">
        <f>BB9/AZ9</f>
        <v>806.45161290322585</v>
      </c>
      <c r="BD9" s="31">
        <f>BC9*AW9</f>
        <v>0</v>
      </c>
      <c r="BE9" s="31">
        <f>BB9-BD9</f>
        <v>25000</v>
      </c>
    </row>
    <row r="10" spans="4:59" ht="15.6" x14ac:dyDescent="0.3">
      <c r="D10" s="42"/>
      <c r="E10" s="42"/>
      <c r="F10" s="42"/>
      <c r="G10" s="59">
        <v>2</v>
      </c>
      <c r="H10" s="10">
        <v>1002</v>
      </c>
      <c r="I10" s="11" t="s">
        <v>4</v>
      </c>
      <c r="J10" s="49">
        <f t="shared" ref="J10:J28" si="3">COUNTIF($K$7:$AO$7,"sun")</f>
        <v>4</v>
      </c>
      <c r="K10" s="2" t="s">
        <v>43</v>
      </c>
      <c r="L10" s="2" t="s">
        <v>43</v>
      </c>
      <c r="M10" s="2" t="s">
        <v>43</v>
      </c>
      <c r="N10" s="2" t="s">
        <v>44</v>
      </c>
      <c r="O10" s="48" t="s">
        <v>41</v>
      </c>
      <c r="P10" s="2" t="s">
        <v>43</v>
      </c>
      <c r="Q10" s="2" t="str">
        <f t="shared" si="2"/>
        <v>WO</v>
      </c>
      <c r="R10" s="2" t="s">
        <v>43</v>
      </c>
      <c r="S10" s="2" t="s">
        <v>43</v>
      </c>
      <c r="T10" s="2" t="s">
        <v>43</v>
      </c>
      <c r="U10" s="2" t="s">
        <v>43</v>
      </c>
      <c r="V10" s="2" t="s">
        <v>43</v>
      </c>
      <c r="W10" s="2" t="s">
        <v>44</v>
      </c>
      <c r="X10" s="2" t="str">
        <f t="shared" si="2"/>
        <v>WO</v>
      </c>
      <c r="Y10" s="2" t="s">
        <v>44</v>
      </c>
      <c r="Z10" s="2" t="s">
        <v>43</v>
      </c>
      <c r="AA10" s="2" t="s">
        <v>43</v>
      </c>
      <c r="AB10" s="2" t="s">
        <v>43</v>
      </c>
      <c r="AC10" s="2" t="s">
        <v>43</v>
      </c>
      <c r="AD10" s="2" t="s">
        <v>43</v>
      </c>
      <c r="AE10" s="2" t="str">
        <f t="shared" si="2"/>
        <v>WO</v>
      </c>
      <c r="AF10" s="2" t="s">
        <v>43</v>
      </c>
      <c r="AG10" s="2" t="s">
        <v>44</v>
      </c>
      <c r="AH10" s="2" t="s">
        <v>43</v>
      </c>
      <c r="AI10" s="48" t="s">
        <v>41</v>
      </c>
      <c r="AJ10" s="2" t="s">
        <v>43</v>
      </c>
      <c r="AK10" s="2" t="s">
        <v>44</v>
      </c>
      <c r="AL10" s="2" t="str">
        <f t="shared" si="2"/>
        <v>WO</v>
      </c>
      <c r="AM10" s="2" t="s">
        <v>44</v>
      </c>
      <c r="AN10" s="2" t="s">
        <v>43</v>
      </c>
      <c r="AO10" s="76" t="s">
        <v>43</v>
      </c>
      <c r="AP10" s="42"/>
      <c r="AQ10" s="42"/>
      <c r="AR10" s="3">
        <v>2</v>
      </c>
      <c r="AS10" s="3">
        <v>1002</v>
      </c>
      <c r="AT10" s="3" t="str">
        <f t="shared" ref="AT10:AT28" si="4">$I$5</f>
        <v>December</v>
      </c>
      <c r="AU10" s="36" t="s">
        <v>4</v>
      </c>
      <c r="AV10">
        <f t="shared" ref="AV10:AV28" si="5">COUNTIF($K10:$AO10,"P")</f>
        <v>19</v>
      </c>
      <c r="AW10">
        <f t="shared" ref="AW10:AW28" si="6">COUNTIF($K10:$AO10,"A")</f>
        <v>6</v>
      </c>
      <c r="AX10">
        <f t="shared" ref="AX10:AX28" si="7">COUNTIF($K10:$AO10,"L")</f>
        <v>2</v>
      </c>
      <c r="AY10">
        <f t="shared" ref="AY10:AY28" si="8">$J$9</f>
        <v>4</v>
      </c>
      <c r="AZ10">
        <f t="shared" ref="AZ10:AZ28" si="9">$I$4</f>
        <v>31</v>
      </c>
      <c r="BA10">
        <f t="shared" ref="BA10:BA28" si="10">AZ10-AW10</f>
        <v>25</v>
      </c>
      <c r="BB10" s="28">
        <v>24000</v>
      </c>
      <c r="BC10" s="29">
        <f t="shared" ref="BC10:BC28" si="11">BB10/AZ10</f>
        <v>774.19354838709683</v>
      </c>
      <c r="BD10" s="28">
        <f t="shared" ref="BD10:BD28" si="12">BC10*AW10</f>
        <v>4645.1612903225814</v>
      </c>
      <c r="BE10" s="28">
        <f t="shared" ref="BE10:BE28" si="13">BB10-BD10</f>
        <v>19354.838709677417</v>
      </c>
    </row>
    <row r="11" spans="4:59" ht="15.6" x14ac:dyDescent="0.3">
      <c r="D11" s="42"/>
      <c r="E11" s="42"/>
      <c r="F11" s="42"/>
      <c r="G11" s="59">
        <v>3</v>
      </c>
      <c r="H11" s="10">
        <v>1003</v>
      </c>
      <c r="I11" s="11" t="s">
        <v>5</v>
      </c>
      <c r="J11" s="49">
        <f t="shared" si="3"/>
        <v>4</v>
      </c>
      <c r="K11" s="2" t="s">
        <v>43</v>
      </c>
      <c r="L11" s="2" t="s">
        <v>43</v>
      </c>
      <c r="M11" s="2" t="s">
        <v>43</v>
      </c>
      <c r="N11" s="2" t="s">
        <v>43</v>
      </c>
      <c r="O11" s="48" t="s">
        <v>41</v>
      </c>
      <c r="P11" s="2" t="s">
        <v>43</v>
      </c>
      <c r="Q11" s="2" t="str">
        <f t="shared" si="2"/>
        <v>WO</v>
      </c>
      <c r="R11" s="2" t="s">
        <v>43</v>
      </c>
      <c r="S11" s="2" t="s">
        <v>43</v>
      </c>
      <c r="T11" s="2" t="s">
        <v>43</v>
      </c>
      <c r="U11" s="2" t="s">
        <v>43</v>
      </c>
      <c r="V11" s="2" t="s">
        <v>43</v>
      </c>
      <c r="W11" s="2" t="s">
        <v>43</v>
      </c>
      <c r="X11" s="2" t="str">
        <f t="shared" si="2"/>
        <v>WO</v>
      </c>
      <c r="Y11" s="2" t="s">
        <v>43</v>
      </c>
      <c r="Z11" s="2" t="s">
        <v>43</v>
      </c>
      <c r="AA11" s="2" t="s">
        <v>43</v>
      </c>
      <c r="AB11" s="2" t="s">
        <v>43</v>
      </c>
      <c r="AC11" s="2" t="s">
        <v>43</v>
      </c>
      <c r="AD11" s="2" t="s">
        <v>43</v>
      </c>
      <c r="AE11" s="2" t="str">
        <f t="shared" si="2"/>
        <v>WO</v>
      </c>
      <c r="AF11" s="2" t="s">
        <v>43</v>
      </c>
      <c r="AG11" s="2" t="s">
        <v>43</v>
      </c>
      <c r="AH11" s="2" t="s">
        <v>43</v>
      </c>
      <c r="AI11" s="48" t="s">
        <v>41</v>
      </c>
      <c r="AJ11" s="2" t="s">
        <v>43</v>
      </c>
      <c r="AK11" s="2" t="s">
        <v>43</v>
      </c>
      <c r="AL11" s="2" t="str">
        <f t="shared" si="2"/>
        <v>WO</v>
      </c>
      <c r="AM11" s="2" t="s">
        <v>43</v>
      </c>
      <c r="AN11" s="2" t="s">
        <v>43</v>
      </c>
      <c r="AO11" s="76" t="s">
        <v>43</v>
      </c>
      <c r="AP11" s="42"/>
      <c r="AQ11" s="42"/>
      <c r="AR11" s="3">
        <v>3</v>
      </c>
      <c r="AS11" s="3">
        <v>1003</v>
      </c>
      <c r="AT11" s="3" t="str">
        <f t="shared" si="4"/>
        <v>December</v>
      </c>
      <c r="AU11" s="36" t="s">
        <v>5</v>
      </c>
      <c r="AV11">
        <f t="shared" si="5"/>
        <v>25</v>
      </c>
      <c r="AW11">
        <f t="shared" si="6"/>
        <v>0</v>
      </c>
      <c r="AX11">
        <f t="shared" si="7"/>
        <v>2</v>
      </c>
      <c r="AY11">
        <f t="shared" si="8"/>
        <v>4</v>
      </c>
      <c r="AZ11">
        <f t="shared" si="9"/>
        <v>31</v>
      </c>
      <c r="BA11">
        <f t="shared" si="10"/>
        <v>31</v>
      </c>
      <c r="BB11" s="28">
        <v>23000</v>
      </c>
      <c r="BC11" s="29">
        <f t="shared" si="11"/>
        <v>741.93548387096769</v>
      </c>
      <c r="BD11" s="28">
        <f t="shared" si="12"/>
        <v>0</v>
      </c>
      <c r="BE11" s="28">
        <f t="shared" si="13"/>
        <v>23000</v>
      </c>
    </row>
    <row r="12" spans="4:59" ht="15.6" x14ac:dyDescent="0.3">
      <c r="D12" s="42"/>
      <c r="E12" s="42"/>
      <c r="F12" s="42"/>
      <c r="G12" s="59">
        <v>4</v>
      </c>
      <c r="H12" s="10">
        <v>1004</v>
      </c>
      <c r="I12" s="11" t="s">
        <v>6</v>
      </c>
      <c r="J12" s="49">
        <f t="shared" si="3"/>
        <v>4</v>
      </c>
      <c r="K12" s="2" t="s">
        <v>44</v>
      </c>
      <c r="L12" s="2" t="s">
        <v>43</v>
      </c>
      <c r="M12" s="2" t="s">
        <v>43</v>
      </c>
      <c r="N12" s="2" t="s">
        <v>43</v>
      </c>
      <c r="O12" s="48" t="s">
        <v>41</v>
      </c>
      <c r="P12" s="2" t="s">
        <v>43</v>
      </c>
      <c r="Q12" s="2" t="str">
        <f t="shared" si="2"/>
        <v>WO</v>
      </c>
      <c r="R12" s="2" t="s">
        <v>43</v>
      </c>
      <c r="S12" s="2" t="s">
        <v>43</v>
      </c>
      <c r="T12" s="2" t="s">
        <v>43</v>
      </c>
      <c r="U12" s="2" t="s">
        <v>43</v>
      </c>
      <c r="V12" s="2" t="s">
        <v>43</v>
      </c>
      <c r="W12" s="2" t="s">
        <v>43</v>
      </c>
      <c r="X12" s="2" t="str">
        <f t="shared" si="2"/>
        <v>WO</v>
      </c>
      <c r="Y12" s="2" t="s">
        <v>43</v>
      </c>
      <c r="Z12" s="2" t="s">
        <v>43</v>
      </c>
      <c r="AA12" s="2" t="s">
        <v>43</v>
      </c>
      <c r="AB12" s="2" t="s">
        <v>43</v>
      </c>
      <c r="AC12" s="2" t="s">
        <v>44</v>
      </c>
      <c r="AD12" s="2" t="s">
        <v>43</v>
      </c>
      <c r="AE12" s="2" t="str">
        <f t="shared" si="2"/>
        <v>WO</v>
      </c>
      <c r="AF12" s="2" t="s">
        <v>43</v>
      </c>
      <c r="AG12" s="2" t="s">
        <v>43</v>
      </c>
      <c r="AH12" s="2" t="s">
        <v>43</v>
      </c>
      <c r="AI12" s="48" t="s">
        <v>41</v>
      </c>
      <c r="AJ12" s="2" t="s">
        <v>43</v>
      </c>
      <c r="AK12" s="2" t="s">
        <v>43</v>
      </c>
      <c r="AL12" s="2" t="str">
        <f t="shared" si="2"/>
        <v>WO</v>
      </c>
      <c r="AM12" s="2" t="s">
        <v>43</v>
      </c>
      <c r="AN12" s="2" t="s">
        <v>43</v>
      </c>
      <c r="AO12" s="76" t="s">
        <v>43</v>
      </c>
      <c r="AP12" s="42"/>
      <c r="AQ12" s="42"/>
      <c r="AR12" s="3">
        <v>4</v>
      </c>
      <c r="AS12" s="3">
        <v>1004</v>
      </c>
      <c r="AT12" s="3" t="str">
        <f t="shared" si="4"/>
        <v>December</v>
      </c>
      <c r="AU12" s="36" t="s">
        <v>6</v>
      </c>
      <c r="AV12">
        <f t="shared" si="5"/>
        <v>23</v>
      </c>
      <c r="AW12">
        <f t="shared" si="6"/>
        <v>2</v>
      </c>
      <c r="AX12">
        <f t="shared" si="7"/>
        <v>2</v>
      </c>
      <c r="AY12">
        <f t="shared" si="8"/>
        <v>4</v>
      </c>
      <c r="AZ12">
        <f t="shared" si="9"/>
        <v>31</v>
      </c>
      <c r="BA12">
        <f t="shared" si="10"/>
        <v>29</v>
      </c>
      <c r="BB12" s="28">
        <v>25000</v>
      </c>
      <c r="BC12" s="29">
        <f t="shared" si="11"/>
        <v>806.45161290322585</v>
      </c>
      <c r="BD12" s="28">
        <f t="shared" si="12"/>
        <v>1612.9032258064517</v>
      </c>
      <c r="BE12" s="28">
        <f t="shared" si="13"/>
        <v>23387.096774193549</v>
      </c>
    </row>
    <row r="13" spans="4:59" ht="15.6" x14ac:dyDescent="0.3">
      <c r="D13" s="42"/>
      <c r="E13" s="42"/>
      <c r="F13" s="42"/>
      <c r="G13" s="59">
        <v>5</v>
      </c>
      <c r="H13" s="10">
        <v>1005</v>
      </c>
      <c r="I13" s="11" t="s">
        <v>7</v>
      </c>
      <c r="J13" s="49">
        <f t="shared" si="3"/>
        <v>4</v>
      </c>
      <c r="K13" s="2" t="s">
        <v>43</v>
      </c>
      <c r="L13" s="2" t="s">
        <v>43</v>
      </c>
      <c r="M13" s="2" t="s">
        <v>43</v>
      </c>
      <c r="N13" s="2" t="s">
        <v>43</v>
      </c>
      <c r="O13" s="48" t="s">
        <v>41</v>
      </c>
      <c r="P13" s="2" t="s">
        <v>43</v>
      </c>
      <c r="Q13" s="2" t="str">
        <f t="shared" si="2"/>
        <v>WO</v>
      </c>
      <c r="R13" s="2" t="s">
        <v>43</v>
      </c>
      <c r="S13" s="2" t="s">
        <v>43</v>
      </c>
      <c r="T13" s="2" t="s">
        <v>44</v>
      </c>
      <c r="U13" s="2" t="s">
        <v>43</v>
      </c>
      <c r="V13" s="2" t="s">
        <v>43</v>
      </c>
      <c r="W13" s="2" t="s">
        <v>43</v>
      </c>
      <c r="X13" s="2" t="str">
        <f t="shared" si="2"/>
        <v>WO</v>
      </c>
      <c r="Y13" s="2" t="s">
        <v>43</v>
      </c>
      <c r="Z13" s="2" t="s">
        <v>43</v>
      </c>
      <c r="AA13" s="2" t="s">
        <v>43</v>
      </c>
      <c r="AB13" s="2" t="s">
        <v>43</v>
      </c>
      <c r="AC13" s="2" t="s">
        <v>43</v>
      </c>
      <c r="AD13" s="2" t="s">
        <v>43</v>
      </c>
      <c r="AE13" s="2" t="str">
        <f t="shared" si="2"/>
        <v>WO</v>
      </c>
      <c r="AF13" s="2" t="s">
        <v>43</v>
      </c>
      <c r="AG13" s="2" t="s">
        <v>43</v>
      </c>
      <c r="AH13" s="2" t="s">
        <v>43</v>
      </c>
      <c r="AI13" s="48" t="s">
        <v>41</v>
      </c>
      <c r="AJ13" s="2" t="s">
        <v>43</v>
      </c>
      <c r="AK13" s="2" t="s">
        <v>43</v>
      </c>
      <c r="AL13" s="2" t="str">
        <f t="shared" si="2"/>
        <v>WO</v>
      </c>
      <c r="AM13" s="2" t="s">
        <v>43</v>
      </c>
      <c r="AN13" s="2" t="s">
        <v>43</v>
      </c>
      <c r="AO13" s="76" t="s">
        <v>43</v>
      </c>
      <c r="AP13" s="42"/>
      <c r="AQ13" s="42"/>
      <c r="AR13" s="3">
        <v>5</v>
      </c>
      <c r="AS13" s="3">
        <v>1005</v>
      </c>
      <c r="AT13" s="3" t="str">
        <f t="shared" si="4"/>
        <v>December</v>
      </c>
      <c r="AU13" s="36" t="s">
        <v>7</v>
      </c>
      <c r="AV13">
        <f t="shared" si="5"/>
        <v>24</v>
      </c>
      <c r="AW13">
        <f t="shared" si="6"/>
        <v>1</v>
      </c>
      <c r="AX13">
        <f t="shared" si="7"/>
        <v>2</v>
      </c>
      <c r="AY13">
        <f t="shared" si="8"/>
        <v>4</v>
      </c>
      <c r="AZ13">
        <f t="shared" si="9"/>
        <v>31</v>
      </c>
      <c r="BA13">
        <f t="shared" si="10"/>
        <v>30</v>
      </c>
      <c r="BB13" s="28">
        <v>26000</v>
      </c>
      <c r="BC13" s="29">
        <f t="shared" si="11"/>
        <v>838.70967741935488</v>
      </c>
      <c r="BD13" s="28">
        <f t="shared" si="12"/>
        <v>838.70967741935488</v>
      </c>
      <c r="BE13" s="28">
        <f t="shared" si="13"/>
        <v>25161.290322580644</v>
      </c>
    </row>
    <row r="14" spans="4:59" ht="15.6" x14ac:dyDescent="0.3">
      <c r="D14" s="42"/>
      <c r="E14" s="42"/>
      <c r="F14" s="42"/>
      <c r="G14" s="59">
        <v>6</v>
      </c>
      <c r="H14" s="10">
        <v>1006</v>
      </c>
      <c r="I14" s="11" t="s">
        <v>8</v>
      </c>
      <c r="J14" s="49">
        <f t="shared" si="3"/>
        <v>4</v>
      </c>
      <c r="K14" s="2" t="s">
        <v>43</v>
      </c>
      <c r="L14" s="2" t="s">
        <v>43</v>
      </c>
      <c r="M14" s="2" t="s">
        <v>43</v>
      </c>
      <c r="N14" s="2" t="s">
        <v>43</v>
      </c>
      <c r="O14" s="48" t="s">
        <v>41</v>
      </c>
      <c r="P14" s="2" t="s">
        <v>43</v>
      </c>
      <c r="Q14" s="2" t="str">
        <f t="shared" si="2"/>
        <v>WO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  <c r="X14" s="2" t="str">
        <f t="shared" si="2"/>
        <v>WO</v>
      </c>
      <c r="Y14" s="2" t="s">
        <v>43</v>
      </c>
      <c r="Z14" s="2" t="s">
        <v>43</v>
      </c>
      <c r="AA14" s="2" t="s">
        <v>43</v>
      </c>
      <c r="AB14" s="2" t="s">
        <v>43</v>
      </c>
      <c r="AC14" s="2" t="s">
        <v>43</v>
      </c>
      <c r="AD14" s="2" t="s">
        <v>43</v>
      </c>
      <c r="AE14" s="2" t="str">
        <f t="shared" si="2"/>
        <v>WO</v>
      </c>
      <c r="AF14" s="2" t="s">
        <v>43</v>
      </c>
      <c r="AG14" s="2" t="s">
        <v>43</v>
      </c>
      <c r="AH14" s="2" t="s">
        <v>43</v>
      </c>
      <c r="AI14" s="48" t="s">
        <v>41</v>
      </c>
      <c r="AJ14" s="2" t="s">
        <v>43</v>
      </c>
      <c r="AK14" s="2" t="s">
        <v>43</v>
      </c>
      <c r="AL14" s="2" t="str">
        <f t="shared" si="2"/>
        <v>WO</v>
      </c>
      <c r="AM14" s="2" t="s">
        <v>43</v>
      </c>
      <c r="AN14" s="2" t="s">
        <v>43</v>
      </c>
      <c r="AO14" s="76" t="s">
        <v>43</v>
      </c>
      <c r="AP14" s="42"/>
      <c r="AQ14" s="42"/>
      <c r="AR14" s="3">
        <v>6</v>
      </c>
      <c r="AS14" s="3">
        <v>1006</v>
      </c>
      <c r="AT14" s="3" t="str">
        <f t="shared" si="4"/>
        <v>December</v>
      </c>
      <c r="AU14" s="36" t="s">
        <v>8</v>
      </c>
      <c r="AV14">
        <f t="shared" si="5"/>
        <v>25</v>
      </c>
      <c r="AW14">
        <f t="shared" si="6"/>
        <v>0</v>
      </c>
      <c r="AX14">
        <f t="shared" si="7"/>
        <v>2</v>
      </c>
      <c r="AY14">
        <f t="shared" si="8"/>
        <v>4</v>
      </c>
      <c r="AZ14">
        <f t="shared" si="9"/>
        <v>31</v>
      </c>
      <c r="BA14">
        <f t="shared" si="10"/>
        <v>31</v>
      </c>
      <c r="BB14" s="28">
        <v>31000</v>
      </c>
      <c r="BC14" s="29">
        <f t="shared" si="11"/>
        <v>1000</v>
      </c>
      <c r="BD14" s="28">
        <f t="shared" si="12"/>
        <v>0</v>
      </c>
      <c r="BE14" s="28">
        <f t="shared" si="13"/>
        <v>31000</v>
      </c>
    </row>
    <row r="15" spans="4:59" ht="15.6" x14ac:dyDescent="0.3">
      <c r="D15" s="42"/>
      <c r="E15" s="42"/>
      <c r="F15" s="42"/>
      <c r="G15" s="59">
        <v>7</v>
      </c>
      <c r="H15" s="10">
        <v>1007</v>
      </c>
      <c r="I15" s="11" t="s">
        <v>9</v>
      </c>
      <c r="J15" s="49">
        <f t="shared" si="3"/>
        <v>4</v>
      </c>
      <c r="K15" s="2" t="s">
        <v>44</v>
      </c>
      <c r="L15" s="2" t="s">
        <v>43</v>
      </c>
      <c r="M15" s="2" t="s">
        <v>43</v>
      </c>
      <c r="N15" s="2" t="s">
        <v>43</v>
      </c>
      <c r="O15" s="48" t="s">
        <v>41</v>
      </c>
      <c r="P15" s="2" t="s">
        <v>43</v>
      </c>
      <c r="Q15" s="2" t="str">
        <f t="shared" si="2"/>
        <v>WO</v>
      </c>
      <c r="R15" s="2" t="s">
        <v>43</v>
      </c>
      <c r="S15" s="2" t="s">
        <v>43</v>
      </c>
      <c r="T15" s="2" t="s">
        <v>43</v>
      </c>
      <c r="U15" s="2" t="s">
        <v>43</v>
      </c>
      <c r="V15" s="2" t="s">
        <v>43</v>
      </c>
      <c r="W15" s="2" t="s">
        <v>43</v>
      </c>
      <c r="X15" s="2" t="str">
        <f t="shared" si="2"/>
        <v>WO</v>
      </c>
      <c r="Y15" s="2" t="s">
        <v>43</v>
      </c>
      <c r="Z15" s="2" t="s">
        <v>43</v>
      </c>
      <c r="AA15" s="2" t="s">
        <v>43</v>
      </c>
      <c r="AB15" s="2" t="s">
        <v>43</v>
      </c>
      <c r="AC15" s="2" t="s">
        <v>43</v>
      </c>
      <c r="AD15" s="2" t="s">
        <v>43</v>
      </c>
      <c r="AE15" s="2" t="str">
        <f t="shared" si="2"/>
        <v>WO</v>
      </c>
      <c r="AF15" s="2" t="s">
        <v>43</v>
      </c>
      <c r="AG15" s="2" t="s">
        <v>43</v>
      </c>
      <c r="AH15" s="2" t="s">
        <v>43</v>
      </c>
      <c r="AI15" s="48" t="s">
        <v>41</v>
      </c>
      <c r="AJ15" s="2" t="s">
        <v>43</v>
      </c>
      <c r="AK15" s="2" t="s">
        <v>43</v>
      </c>
      <c r="AL15" s="2" t="str">
        <f t="shared" si="2"/>
        <v>WO</v>
      </c>
      <c r="AM15" s="2" t="s">
        <v>43</v>
      </c>
      <c r="AN15" s="2" t="s">
        <v>43</v>
      </c>
      <c r="AO15" s="76" t="s">
        <v>43</v>
      </c>
      <c r="AP15" s="42"/>
      <c r="AQ15" s="42"/>
      <c r="AR15" s="3">
        <v>7</v>
      </c>
      <c r="AS15" s="3">
        <v>1007</v>
      </c>
      <c r="AT15" s="3" t="str">
        <f t="shared" si="4"/>
        <v>December</v>
      </c>
      <c r="AU15" s="36" t="s">
        <v>9</v>
      </c>
      <c r="AV15">
        <f t="shared" si="5"/>
        <v>24</v>
      </c>
      <c r="AW15">
        <f t="shared" si="6"/>
        <v>1</v>
      </c>
      <c r="AX15">
        <f t="shared" si="7"/>
        <v>2</v>
      </c>
      <c r="AY15">
        <f t="shared" si="8"/>
        <v>4</v>
      </c>
      <c r="AZ15">
        <f t="shared" si="9"/>
        <v>31</v>
      </c>
      <c r="BA15">
        <f t="shared" si="10"/>
        <v>30</v>
      </c>
      <c r="BB15" s="28">
        <v>28000</v>
      </c>
      <c r="BC15" s="29">
        <f t="shared" si="11"/>
        <v>903.22580645161293</v>
      </c>
      <c r="BD15" s="28">
        <f t="shared" si="12"/>
        <v>903.22580645161293</v>
      </c>
      <c r="BE15" s="28">
        <f t="shared" si="13"/>
        <v>27096.774193548386</v>
      </c>
    </row>
    <row r="16" spans="4:59" ht="15.6" x14ac:dyDescent="0.3">
      <c r="D16" s="42"/>
      <c r="E16" s="42"/>
      <c r="F16" s="42"/>
      <c r="G16" s="59">
        <v>8</v>
      </c>
      <c r="H16" s="10">
        <v>1008</v>
      </c>
      <c r="I16" s="11" t="s">
        <v>10</v>
      </c>
      <c r="J16" s="49">
        <f t="shared" si="3"/>
        <v>4</v>
      </c>
      <c r="K16" s="2" t="s">
        <v>43</v>
      </c>
      <c r="L16" s="2" t="s">
        <v>43</v>
      </c>
      <c r="M16" s="2" t="s">
        <v>43</v>
      </c>
      <c r="N16" s="2" t="s">
        <v>43</v>
      </c>
      <c r="O16" s="48" t="s">
        <v>41</v>
      </c>
      <c r="P16" s="2" t="s">
        <v>43</v>
      </c>
      <c r="Q16" s="2" t="str">
        <f t="shared" si="2"/>
        <v>WO</v>
      </c>
      <c r="R16" s="2" t="s">
        <v>44</v>
      </c>
      <c r="S16" s="2" t="s">
        <v>43</v>
      </c>
      <c r="T16" s="2" t="s">
        <v>43</v>
      </c>
      <c r="U16" s="2" t="s">
        <v>43</v>
      </c>
      <c r="V16" s="2" t="s">
        <v>43</v>
      </c>
      <c r="W16" s="2" t="s">
        <v>43</v>
      </c>
      <c r="X16" s="2" t="str">
        <f t="shared" si="2"/>
        <v>WO</v>
      </c>
      <c r="Y16" s="2" t="s">
        <v>43</v>
      </c>
      <c r="Z16" s="2" t="s">
        <v>43</v>
      </c>
      <c r="AA16" s="2" t="s">
        <v>43</v>
      </c>
      <c r="AB16" s="2" t="s">
        <v>43</v>
      </c>
      <c r="AC16" s="2" t="s">
        <v>43</v>
      </c>
      <c r="AD16" s="2" t="s">
        <v>43</v>
      </c>
      <c r="AE16" s="2" t="str">
        <f t="shared" si="2"/>
        <v>WO</v>
      </c>
      <c r="AF16" s="2" t="s">
        <v>43</v>
      </c>
      <c r="AG16" s="2" t="s">
        <v>43</v>
      </c>
      <c r="AH16" s="2" t="s">
        <v>43</v>
      </c>
      <c r="AI16" s="48" t="s">
        <v>41</v>
      </c>
      <c r="AJ16" s="2" t="s">
        <v>43</v>
      </c>
      <c r="AK16" s="2" t="s">
        <v>43</v>
      </c>
      <c r="AL16" s="2" t="str">
        <f t="shared" si="2"/>
        <v>WO</v>
      </c>
      <c r="AM16" s="2" t="s">
        <v>43</v>
      </c>
      <c r="AN16" s="2" t="s">
        <v>43</v>
      </c>
      <c r="AO16" s="76" t="s">
        <v>43</v>
      </c>
      <c r="AP16" s="42"/>
      <c r="AQ16" s="42"/>
      <c r="AR16" s="3">
        <v>8</v>
      </c>
      <c r="AS16" s="3">
        <v>1008</v>
      </c>
      <c r="AT16" s="3" t="str">
        <f t="shared" si="4"/>
        <v>December</v>
      </c>
      <c r="AU16" s="36" t="s">
        <v>10</v>
      </c>
      <c r="AV16">
        <f t="shared" si="5"/>
        <v>24</v>
      </c>
      <c r="AW16">
        <f t="shared" si="6"/>
        <v>1</v>
      </c>
      <c r="AX16">
        <f t="shared" si="7"/>
        <v>2</v>
      </c>
      <c r="AY16">
        <f t="shared" si="8"/>
        <v>4</v>
      </c>
      <c r="AZ16">
        <f t="shared" si="9"/>
        <v>31</v>
      </c>
      <c r="BA16">
        <f t="shared" si="10"/>
        <v>30</v>
      </c>
      <c r="BB16" s="28">
        <v>29000</v>
      </c>
      <c r="BC16" s="29">
        <f t="shared" si="11"/>
        <v>935.48387096774195</v>
      </c>
      <c r="BD16" s="28">
        <f t="shared" si="12"/>
        <v>935.48387096774195</v>
      </c>
      <c r="BE16" s="28">
        <f t="shared" si="13"/>
        <v>28064.516129032258</v>
      </c>
    </row>
    <row r="17" spans="4:59" ht="15.6" x14ac:dyDescent="0.3">
      <c r="D17" s="42"/>
      <c r="E17" s="42"/>
      <c r="F17" s="42"/>
      <c r="G17" s="59">
        <v>9</v>
      </c>
      <c r="H17" s="10">
        <v>1009</v>
      </c>
      <c r="I17" s="11" t="s">
        <v>11</v>
      </c>
      <c r="J17" s="49">
        <f t="shared" si="3"/>
        <v>4</v>
      </c>
      <c r="K17" s="2" t="s">
        <v>43</v>
      </c>
      <c r="L17" s="2" t="s">
        <v>43</v>
      </c>
      <c r="M17" s="2" t="s">
        <v>43</v>
      </c>
      <c r="N17" s="2" t="s">
        <v>43</v>
      </c>
      <c r="O17" s="48" t="s">
        <v>41</v>
      </c>
      <c r="P17" s="2" t="s">
        <v>43</v>
      </c>
      <c r="Q17" s="2" t="str">
        <f t="shared" si="2"/>
        <v>WO</v>
      </c>
      <c r="R17" s="2" t="s">
        <v>43</v>
      </c>
      <c r="S17" s="2" t="s">
        <v>43</v>
      </c>
      <c r="T17" s="2" t="s">
        <v>43</v>
      </c>
      <c r="U17" s="2" t="s">
        <v>43</v>
      </c>
      <c r="V17" s="2" t="s">
        <v>43</v>
      </c>
      <c r="W17" s="2" t="s">
        <v>43</v>
      </c>
      <c r="X17" s="2" t="str">
        <f t="shared" si="2"/>
        <v>WO</v>
      </c>
      <c r="Y17" s="2" t="s">
        <v>43</v>
      </c>
      <c r="Z17" s="2" t="s">
        <v>43</v>
      </c>
      <c r="AA17" s="2" t="s">
        <v>44</v>
      </c>
      <c r="AB17" s="2" t="s">
        <v>43</v>
      </c>
      <c r="AC17" s="2" t="s">
        <v>43</v>
      </c>
      <c r="AD17" s="2" t="s">
        <v>43</v>
      </c>
      <c r="AE17" s="2" t="str">
        <f t="shared" ref="AE17:AL28" si="14">IF(AE$7="sun","WO","")</f>
        <v>WO</v>
      </c>
      <c r="AF17" s="2" t="s">
        <v>43</v>
      </c>
      <c r="AG17" s="2" t="s">
        <v>44</v>
      </c>
      <c r="AH17" s="2" t="s">
        <v>43</v>
      </c>
      <c r="AI17" s="48" t="s">
        <v>41</v>
      </c>
      <c r="AJ17" s="2" t="s">
        <v>43</v>
      </c>
      <c r="AK17" s="2" t="s">
        <v>43</v>
      </c>
      <c r="AL17" s="2" t="str">
        <f t="shared" si="14"/>
        <v>WO</v>
      </c>
      <c r="AM17" s="2" t="s">
        <v>43</v>
      </c>
      <c r="AN17" s="2" t="s">
        <v>43</v>
      </c>
      <c r="AO17" s="76" t="s">
        <v>43</v>
      </c>
      <c r="AP17" s="42"/>
      <c r="AQ17" s="42"/>
      <c r="AR17" s="3">
        <v>9</v>
      </c>
      <c r="AS17" s="3">
        <v>1009</v>
      </c>
      <c r="AT17" s="3" t="str">
        <f t="shared" si="4"/>
        <v>December</v>
      </c>
      <c r="AU17" s="36" t="s">
        <v>11</v>
      </c>
      <c r="AV17">
        <f t="shared" si="5"/>
        <v>23</v>
      </c>
      <c r="AW17">
        <f t="shared" si="6"/>
        <v>2</v>
      </c>
      <c r="AX17">
        <f t="shared" si="7"/>
        <v>2</v>
      </c>
      <c r="AY17">
        <f t="shared" si="8"/>
        <v>4</v>
      </c>
      <c r="AZ17">
        <f t="shared" si="9"/>
        <v>31</v>
      </c>
      <c r="BA17">
        <f t="shared" si="10"/>
        <v>29</v>
      </c>
      <c r="BB17" s="28">
        <v>32000</v>
      </c>
      <c r="BC17" s="29">
        <f t="shared" si="11"/>
        <v>1032.258064516129</v>
      </c>
      <c r="BD17" s="28">
        <f t="shared" si="12"/>
        <v>2064.516129032258</v>
      </c>
      <c r="BE17" s="28">
        <f t="shared" si="13"/>
        <v>29935.483870967742</v>
      </c>
    </row>
    <row r="18" spans="4:59" ht="15.6" x14ac:dyDescent="0.3">
      <c r="D18" s="42"/>
      <c r="E18" s="42"/>
      <c r="F18" s="42"/>
      <c r="G18" s="59">
        <v>10</v>
      </c>
      <c r="H18" s="10">
        <v>1010</v>
      </c>
      <c r="I18" s="11" t="s">
        <v>12</v>
      </c>
      <c r="J18" s="49">
        <f t="shared" si="3"/>
        <v>4</v>
      </c>
      <c r="K18" s="2" t="s">
        <v>43</v>
      </c>
      <c r="L18" s="2" t="s">
        <v>43</v>
      </c>
      <c r="M18" s="2" t="s">
        <v>43</v>
      </c>
      <c r="N18" s="2" t="s">
        <v>43</v>
      </c>
      <c r="O18" s="48" t="s">
        <v>41</v>
      </c>
      <c r="P18" s="2" t="s">
        <v>43</v>
      </c>
      <c r="Q18" s="2" t="str">
        <f t="shared" ref="Q18:X28" si="15">IF(Q$7="sun","WO","")</f>
        <v>WO</v>
      </c>
      <c r="R18" s="2" t="s">
        <v>43</v>
      </c>
      <c r="S18" s="2" t="s">
        <v>43</v>
      </c>
      <c r="T18" s="2" t="s">
        <v>43</v>
      </c>
      <c r="U18" s="2" t="s">
        <v>43</v>
      </c>
      <c r="V18" s="2" t="s">
        <v>43</v>
      </c>
      <c r="W18" s="2" t="s">
        <v>43</v>
      </c>
      <c r="X18" s="2" t="str">
        <f t="shared" si="15"/>
        <v>WO</v>
      </c>
      <c r="Y18" s="2" t="s">
        <v>43</v>
      </c>
      <c r="Z18" s="2" t="s">
        <v>43</v>
      </c>
      <c r="AA18" s="2" t="s">
        <v>43</v>
      </c>
      <c r="AB18" s="2" t="s">
        <v>43</v>
      </c>
      <c r="AC18" s="2" t="s">
        <v>43</v>
      </c>
      <c r="AD18" s="2" t="s">
        <v>43</v>
      </c>
      <c r="AE18" s="2" t="str">
        <f t="shared" si="14"/>
        <v>WO</v>
      </c>
      <c r="AF18" s="2" t="s">
        <v>43</v>
      </c>
      <c r="AG18" s="2" t="s">
        <v>43</v>
      </c>
      <c r="AH18" s="2" t="s">
        <v>43</v>
      </c>
      <c r="AI18" s="48" t="s">
        <v>41</v>
      </c>
      <c r="AJ18" s="2" t="s">
        <v>44</v>
      </c>
      <c r="AK18" s="2" t="s">
        <v>43</v>
      </c>
      <c r="AL18" s="2" t="str">
        <f t="shared" si="14"/>
        <v>WO</v>
      </c>
      <c r="AM18" s="2" t="s">
        <v>43</v>
      </c>
      <c r="AN18" s="2" t="s">
        <v>43</v>
      </c>
      <c r="AO18" s="76" t="s">
        <v>43</v>
      </c>
      <c r="AP18" s="42"/>
      <c r="AQ18" s="42"/>
      <c r="AR18" s="3">
        <v>10</v>
      </c>
      <c r="AS18" s="3">
        <v>1010</v>
      </c>
      <c r="AT18" s="3" t="str">
        <f t="shared" si="4"/>
        <v>December</v>
      </c>
      <c r="AU18" s="36" t="s">
        <v>12</v>
      </c>
      <c r="AV18">
        <f t="shared" si="5"/>
        <v>24</v>
      </c>
      <c r="AW18">
        <f t="shared" si="6"/>
        <v>1</v>
      </c>
      <c r="AX18">
        <f t="shared" si="7"/>
        <v>2</v>
      </c>
      <c r="AY18">
        <f t="shared" si="8"/>
        <v>4</v>
      </c>
      <c r="AZ18">
        <f t="shared" si="9"/>
        <v>31</v>
      </c>
      <c r="BA18">
        <f t="shared" si="10"/>
        <v>30</v>
      </c>
      <c r="BB18" s="28">
        <v>35000</v>
      </c>
      <c r="BC18" s="29">
        <f t="shared" si="11"/>
        <v>1129.0322580645161</v>
      </c>
      <c r="BD18" s="28">
        <f t="shared" si="12"/>
        <v>1129.0322580645161</v>
      </c>
      <c r="BE18" s="28">
        <f t="shared" si="13"/>
        <v>33870.967741935485</v>
      </c>
    </row>
    <row r="19" spans="4:59" ht="15.6" x14ac:dyDescent="0.3">
      <c r="D19" s="42"/>
      <c r="E19" s="42"/>
      <c r="F19" s="42"/>
      <c r="G19" s="59">
        <v>11</v>
      </c>
      <c r="H19" s="10">
        <v>1011</v>
      </c>
      <c r="I19" s="11" t="s">
        <v>13</v>
      </c>
      <c r="J19" s="49">
        <f t="shared" si="3"/>
        <v>4</v>
      </c>
      <c r="K19" s="2" t="s">
        <v>44</v>
      </c>
      <c r="L19" s="2" t="s">
        <v>43</v>
      </c>
      <c r="M19" s="2" t="s">
        <v>43</v>
      </c>
      <c r="N19" s="2" t="s">
        <v>43</v>
      </c>
      <c r="O19" s="48" t="s">
        <v>41</v>
      </c>
      <c r="P19" s="2" t="s">
        <v>43</v>
      </c>
      <c r="Q19" s="2" t="str">
        <f t="shared" si="15"/>
        <v>WO</v>
      </c>
      <c r="R19" s="2" t="s">
        <v>43</v>
      </c>
      <c r="S19" s="2" t="s">
        <v>43</v>
      </c>
      <c r="T19" s="2" t="s">
        <v>43</v>
      </c>
      <c r="U19" s="2" t="s">
        <v>43</v>
      </c>
      <c r="V19" s="2" t="s">
        <v>43</v>
      </c>
      <c r="W19" s="2" t="s">
        <v>43</v>
      </c>
      <c r="X19" s="2" t="str">
        <f t="shared" si="15"/>
        <v>WO</v>
      </c>
      <c r="Y19" s="2" t="s">
        <v>43</v>
      </c>
      <c r="Z19" s="2" t="s">
        <v>43</v>
      </c>
      <c r="AA19" s="2" t="s">
        <v>43</v>
      </c>
      <c r="AB19" s="2" t="s">
        <v>43</v>
      </c>
      <c r="AC19" s="2" t="s">
        <v>43</v>
      </c>
      <c r="AD19" s="2" t="s">
        <v>44</v>
      </c>
      <c r="AE19" s="2" t="str">
        <f t="shared" si="14"/>
        <v>WO</v>
      </c>
      <c r="AF19" s="2" t="s">
        <v>43</v>
      </c>
      <c r="AG19" s="2" t="s">
        <v>43</v>
      </c>
      <c r="AH19" s="2" t="s">
        <v>43</v>
      </c>
      <c r="AI19" s="48" t="s">
        <v>41</v>
      </c>
      <c r="AJ19" s="2" t="s">
        <v>43</v>
      </c>
      <c r="AK19" s="2" t="s">
        <v>43</v>
      </c>
      <c r="AL19" s="2" t="str">
        <f t="shared" si="14"/>
        <v>WO</v>
      </c>
      <c r="AM19" s="2" t="s">
        <v>43</v>
      </c>
      <c r="AN19" s="2" t="s">
        <v>43</v>
      </c>
      <c r="AO19" s="76" t="s">
        <v>43</v>
      </c>
      <c r="AP19" s="42"/>
      <c r="AQ19" s="42"/>
      <c r="AR19" s="3">
        <v>11</v>
      </c>
      <c r="AS19" s="3">
        <v>1011</v>
      </c>
      <c r="AT19" s="3" t="str">
        <f t="shared" si="4"/>
        <v>December</v>
      </c>
      <c r="AU19" s="36" t="s">
        <v>13</v>
      </c>
      <c r="AV19">
        <f t="shared" si="5"/>
        <v>23</v>
      </c>
      <c r="AW19">
        <f t="shared" si="6"/>
        <v>2</v>
      </c>
      <c r="AX19">
        <f t="shared" si="7"/>
        <v>2</v>
      </c>
      <c r="AY19">
        <f t="shared" si="8"/>
        <v>4</v>
      </c>
      <c r="AZ19">
        <f t="shared" si="9"/>
        <v>31</v>
      </c>
      <c r="BA19">
        <f t="shared" si="10"/>
        <v>29</v>
      </c>
      <c r="BB19" s="28">
        <v>50000</v>
      </c>
      <c r="BC19" s="29">
        <f t="shared" si="11"/>
        <v>1612.9032258064517</v>
      </c>
      <c r="BD19" s="28">
        <f t="shared" si="12"/>
        <v>3225.8064516129034</v>
      </c>
      <c r="BE19" s="28">
        <f t="shared" si="13"/>
        <v>46774.193548387098</v>
      </c>
    </row>
    <row r="20" spans="4:59" ht="15.6" x14ac:dyDescent="0.3">
      <c r="D20" s="42"/>
      <c r="E20" s="42"/>
      <c r="F20" s="42"/>
      <c r="G20" s="59">
        <v>12</v>
      </c>
      <c r="H20" s="10">
        <v>1012</v>
      </c>
      <c r="I20" s="11" t="s">
        <v>14</v>
      </c>
      <c r="J20" s="49">
        <f t="shared" si="3"/>
        <v>4</v>
      </c>
      <c r="K20" s="2" t="s">
        <v>43</v>
      </c>
      <c r="L20" s="2" t="s">
        <v>43</v>
      </c>
      <c r="M20" s="2" t="s">
        <v>43</v>
      </c>
      <c r="N20" s="2" t="s">
        <v>43</v>
      </c>
      <c r="O20" s="48" t="s">
        <v>41</v>
      </c>
      <c r="P20" s="2" t="s">
        <v>43</v>
      </c>
      <c r="Q20" s="2" t="str">
        <f t="shared" si="15"/>
        <v>WO</v>
      </c>
      <c r="R20" s="2" t="s">
        <v>43</v>
      </c>
      <c r="S20" s="2" t="s">
        <v>43</v>
      </c>
      <c r="T20" s="2" t="s">
        <v>44</v>
      </c>
      <c r="U20" s="2" t="s">
        <v>43</v>
      </c>
      <c r="V20" s="2" t="s">
        <v>43</v>
      </c>
      <c r="W20" s="2" t="s">
        <v>43</v>
      </c>
      <c r="X20" s="2" t="str">
        <f t="shared" si="15"/>
        <v>WO</v>
      </c>
      <c r="Y20" s="2" t="s">
        <v>43</v>
      </c>
      <c r="Z20" s="2" t="s">
        <v>43</v>
      </c>
      <c r="AA20" s="2" t="s">
        <v>43</v>
      </c>
      <c r="AB20" s="2" t="s">
        <v>43</v>
      </c>
      <c r="AC20" s="2" t="s">
        <v>43</v>
      </c>
      <c r="AD20" s="2" t="s">
        <v>43</v>
      </c>
      <c r="AE20" s="2" t="str">
        <f t="shared" si="14"/>
        <v>WO</v>
      </c>
      <c r="AF20" s="2" t="s">
        <v>43</v>
      </c>
      <c r="AG20" s="2" t="s">
        <v>43</v>
      </c>
      <c r="AH20" s="2" t="s">
        <v>43</v>
      </c>
      <c r="AI20" s="48" t="s">
        <v>41</v>
      </c>
      <c r="AJ20" s="2" t="s">
        <v>43</v>
      </c>
      <c r="AK20" s="2" t="s">
        <v>43</v>
      </c>
      <c r="AL20" s="2" t="str">
        <f t="shared" si="14"/>
        <v>WO</v>
      </c>
      <c r="AM20" s="2" t="s">
        <v>43</v>
      </c>
      <c r="AN20" s="2" t="s">
        <v>43</v>
      </c>
      <c r="AO20" s="76" t="s">
        <v>43</v>
      </c>
      <c r="AP20" s="42"/>
      <c r="AQ20" s="42"/>
      <c r="AR20" s="3">
        <v>12</v>
      </c>
      <c r="AS20" s="3">
        <v>1012</v>
      </c>
      <c r="AT20" s="3" t="str">
        <f t="shared" si="4"/>
        <v>December</v>
      </c>
      <c r="AU20" s="36" t="s">
        <v>14</v>
      </c>
      <c r="AV20">
        <f t="shared" si="5"/>
        <v>24</v>
      </c>
      <c r="AW20">
        <f t="shared" si="6"/>
        <v>1</v>
      </c>
      <c r="AX20">
        <f t="shared" si="7"/>
        <v>2</v>
      </c>
      <c r="AY20">
        <f t="shared" si="8"/>
        <v>4</v>
      </c>
      <c r="AZ20">
        <f t="shared" si="9"/>
        <v>31</v>
      </c>
      <c r="BA20">
        <f t="shared" si="10"/>
        <v>30</v>
      </c>
      <c r="BB20" s="28">
        <v>29000</v>
      </c>
      <c r="BC20" s="29">
        <f t="shared" si="11"/>
        <v>935.48387096774195</v>
      </c>
      <c r="BD20" s="28">
        <f t="shared" si="12"/>
        <v>935.48387096774195</v>
      </c>
      <c r="BE20" s="28">
        <f t="shared" si="13"/>
        <v>28064.516129032258</v>
      </c>
    </row>
    <row r="21" spans="4:59" ht="15.6" x14ac:dyDescent="0.3">
      <c r="D21" s="42"/>
      <c r="E21" s="42"/>
      <c r="F21" s="42"/>
      <c r="G21" s="59">
        <v>13</v>
      </c>
      <c r="H21" s="10">
        <v>1013</v>
      </c>
      <c r="I21" s="11" t="s">
        <v>15</v>
      </c>
      <c r="J21" s="49">
        <f t="shared" si="3"/>
        <v>4</v>
      </c>
      <c r="K21" s="2" t="s">
        <v>43</v>
      </c>
      <c r="L21" s="2" t="s">
        <v>43</v>
      </c>
      <c r="M21" s="2" t="s">
        <v>44</v>
      </c>
      <c r="N21" s="2" t="s">
        <v>43</v>
      </c>
      <c r="O21" s="48" t="s">
        <v>41</v>
      </c>
      <c r="P21" s="2" t="s">
        <v>43</v>
      </c>
      <c r="Q21" s="2" t="str">
        <f t="shared" si="15"/>
        <v>WO</v>
      </c>
      <c r="R21" s="2" t="s">
        <v>43</v>
      </c>
      <c r="S21" s="2" t="s">
        <v>43</v>
      </c>
      <c r="T21" s="2" t="s">
        <v>43</v>
      </c>
      <c r="U21" s="2" t="s">
        <v>43</v>
      </c>
      <c r="V21" s="2" t="s">
        <v>43</v>
      </c>
      <c r="W21" s="2" t="s">
        <v>43</v>
      </c>
      <c r="X21" s="2" t="str">
        <f t="shared" si="15"/>
        <v>WO</v>
      </c>
      <c r="Y21" s="2" t="s">
        <v>43</v>
      </c>
      <c r="Z21" s="2" t="s">
        <v>43</v>
      </c>
      <c r="AA21" s="2" t="s">
        <v>43</v>
      </c>
      <c r="AB21" s="2" t="s">
        <v>43</v>
      </c>
      <c r="AC21" s="2" t="s">
        <v>43</v>
      </c>
      <c r="AD21" s="2" t="s">
        <v>43</v>
      </c>
      <c r="AE21" s="2" t="str">
        <f t="shared" si="14"/>
        <v>WO</v>
      </c>
      <c r="AF21" s="2" t="s">
        <v>44</v>
      </c>
      <c r="AG21" s="2" t="s">
        <v>43</v>
      </c>
      <c r="AH21" s="2" t="s">
        <v>43</v>
      </c>
      <c r="AI21" s="48" t="s">
        <v>41</v>
      </c>
      <c r="AJ21" s="2" t="s">
        <v>43</v>
      </c>
      <c r="AK21" s="2" t="s">
        <v>43</v>
      </c>
      <c r="AL21" s="2" t="str">
        <f t="shared" si="14"/>
        <v>WO</v>
      </c>
      <c r="AM21" s="2" t="s">
        <v>43</v>
      </c>
      <c r="AN21" s="2" t="s">
        <v>43</v>
      </c>
      <c r="AO21" s="76" t="s">
        <v>43</v>
      </c>
      <c r="AP21" s="42"/>
      <c r="AQ21" s="42"/>
      <c r="AR21" s="3">
        <v>13</v>
      </c>
      <c r="AS21" s="3">
        <v>1013</v>
      </c>
      <c r="AT21" s="3" t="str">
        <f t="shared" si="4"/>
        <v>December</v>
      </c>
      <c r="AU21" s="36" t="s">
        <v>15</v>
      </c>
      <c r="AV21">
        <f t="shared" si="5"/>
        <v>23</v>
      </c>
      <c r="AW21">
        <f t="shared" si="6"/>
        <v>2</v>
      </c>
      <c r="AX21">
        <f t="shared" si="7"/>
        <v>2</v>
      </c>
      <c r="AY21">
        <f t="shared" si="8"/>
        <v>4</v>
      </c>
      <c r="AZ21">
        <f t="shared" si="9"/>
        <v>31</v>
      </c>
      <c r="BA21">
        <f t="shared" si="10"/>
        <v>29</v>
      </c>
      <c r="BB21" s="28">
        <v>37000</v>
      </c>
      <c r="BC21" s="29">
        <f t="shared" si="11"/>
        <v>1193.5483870967741</v>
      </c>
      <c r="BD21" s="28">
        <f t="shared" si="12"/>
        <v>2387.0967741935483</v>
      </c>
      <c r="BE21" s="28">
        <f t="shared" si="13"/>
        <v>34612.903225806454</v>
      </c>
    </row>
    <row r="22" spans="4:59" ht="15.6" x14ac:dyDescent="0.3">
      <c r="D22" s="42"/>
      <c r="E22" s="42"/>
      <c r="F22" s="42"/>
      <c r="G22" s="59">
        <v>14</v>
      </c>
      <c r="H22" s="10">
        <v>1014</v>
      </c>
      <c r="I22" s="11" t="s">
        <v>16</v>
      </c>
      <c r="J22" s="49">
        <f t="shared" si="3"/>
        <v>4</v>
      </c>
      <c r="K22" s="2" t="s">
        <v>43</v>
      </c>
      <c r="L22" s="2" t="s">
        <v>43</v>
      </c>
      <c r="M22" s="2" t="s">
        <v>43</v>
      </c>
      <c r="N22" s="2" t="s">
        <v>43</v>
      </c>
      <c r="O22" s="48" t="s">
        <v>41</v>
      </c>
      <c r="P22" s="2" t="s">
        <v>43</v>
      </c>
      <c r="Q22" s="2" t="str">
        <f t="shared" si="15"/>
        <v>WO</v>
      </c>
      <c r="R22" s="2" t="s">
        <v>43</v>
      </c>
      <c r="S22" s="2" t="s">
        <v>43</v>
      </c>
      <c r="T22" s="2" t="s">
        <v>43</v>
      </c>
      <c r="U22" s="2" t="s">
        <v>43</v>
      </c>
      <c r="V22" s="2" t="s">
        <v>43</v>
      </c>
      <c r="W22" s="2" t="s">
        <v>44</v>
      </c>
      <c r="X22" s="2" t="str">
        <f t="shared" si="15"/>
        <v>WO</v>
      </c>
      <c r="Y22" s="2" t="s">
        <v>43</v>
      </c>
      <c r="Z22" s="2" t="s">
        <v>43</v>
      </c>
      <c r="AA22" s="2" t="s">
        <v>43</v>
      </c>
      <c r="AB22" s="2" t="s">
        <v>43</v>
      </c>
      <c r="AC22" s="2" t="s">
        <v>43</v>
      </c>
      <c r="AD22" s="2" t="s">
        <v>43</v>
      </c>
      <c r="AE22" s="2" t="str">
        <f t="shared" si="14"/>
        <v>WO</v>
      </c>
      <c r="AF22" s="2" t="s">
        <v>43</v>
      </c>
      <c r="AG22" s="2" t="s">
        <v>43</v>
      </c>
      <c r="AH22" s="2" t="s">
        <v>43</v>
      </c>
      <c r="AI22" s="48" t="s">
        <v>41</v>
      </c>
      <c r="AJ22" s="2" t="s">
        <v>43</v>
      </c>
      <c r="AK22" s="2" t="s">
        <v>43</v>
      </c>
      <c r="AL22" s="2" t="str">
        <f t="shared" si="14"/>
        <v>WO</v>
      </c>
      <c r="AM22" s="2" t="s">
        <v>44</v>
      </c>
      <c r="AN22" s="2" t="s">
        <v>43</v>
      </c>
      <c r="AO22" s="76" t="s">
        <v>43</v>
      </c>
      <c r="AP22" s="42"/>
      <c r="AQ22" s="42"/>
      <c r="AR22" s="3">
        <v>14</v>
      </c>
      <c r="AS22" s="3">
        <v>1014</v>
      </c>
      <c r="AT22" s="3" t="str">
        <f t="shared" si="4"/>
        <v>December</v>
      </c>
      <c r="AU22" s="36" t="s">
        <v>16</v>
      </c>
      <c r="AV22">
        <f t="shared" si="5"/>
        <v>23</v>
      </c>
      <c r="AW22">
        <f t="shared" si="6"/>
        <v>2</v>
      </c>
      <c r="AX22">
        <f t="shared" si="7"/>
        <v>2</v>
      </c>
      <c r="AY22">
        <f t="shared" si="8"/>
        <v>4</v>
      </c>
      <c r="AZ22">
        <f t="shared" si="9"/>
        <v>31</v>
      </c>
      <c r="BA22">
        <f t="shared" si="10"/>
        <v>29</v>
      </c>
      <c r="BB22" s="28">
        <v>41000</v>
      </c>
      <c r="BC22" s="29">
        <f t="shared" si="11"/>
        <v>1322.5806451612902</v>
      </c>
      <c r="BD22" s="28">
        <f t="shared" si="12"/>
        <v>2645.1612903225805</v>
      </c>
      <c r="BE22" s="28">
        <f t="shared" si="13"/>
        <v>38354.838709677417</v>
      </c>
    </row>
    <row r="23" spans="4:59" ht="15.6" x14ac:dyDescent="0.3">
      <c r="D23" s="42"/>
      <c r="E23" s="42"/>
      <c r="F23" s="42"/>
      <c r="G23" s="59">
        <v>15</v>
      </c>
      <c r="H23" s="10">
        <v>1015</v>
      </c>
      <c r="I23" s="11" t="s">
        <v>17</v>
      </c>
      <c r="J23" s="49">
        <f t="shared" si="3"/>
        <v>4</v>
      </c>
      <c r="K23" s="2" t="s">
        <v>43</v>
      </c>
      <c r="L23" s="2" t="s">
        <v>43</v>
      </c>
      <c r="M23" s="2" t="s">
        <v>43</v>
      </c>
      <c r="N23" s="2" t="s">
        <v>43</v>
      </c>
      <c r="O23" s="48" t="s">
        <v>41</v>
      </c>
      <c r="P23" s="2" t="s">
        <v>43</v>
      </c>
      <c r="Q23" s="2" t="str">
        <f t="shared" si="15"/>
        <v>WO</v>
      </c>
      <c r="R23" s="2" t="s">
        <v>43</v>
      </c>
      <c r="S23" s="2" t="s">
        <v>43</v>
      </c>
      <c r="T23" s="2" t="s">
        <v>43</v>
      </c>
      <c r="U23" s="2" t="s">
        <v>43</v>
      </c>
      <c r="V23" s="2" t="s">
        <v>43</v>
      </c>
      <c r="W23" s="2" t="s">
        <v>43</v>
      </c>
      <c r="X23" s="2" t="str">
        <f t="shared" si="15"/>
        <v>WO</v>
      </c>
      <c r="Y23" s="2" t="s">
        <v>43</v>
      </c>
      <c r="Z23" s="2" t="s">
        <v>44</v>
      </c>
      <c r="AA23" s="2" t="s">
        <v>43</v>
      </c>
      <c r="AB23" s="2" t="s">
        <v>43</v>
      </c>
      <c r="AC23" s="2" t="s">
        <v>43</v>
      </c>
      <c r="AD23" s="2" t="s">
        <v>43</v>
      </c>
      <c r="AE23" s="2" t="str">
        <f t="shared" si="14"/>
        <v>WO</v>
      </c>
      <c r="AF23" s="2" t="s">
        <v>43</v>
      </c>
      <c r="AG23" s="2" t="s">
        <v>43</v>
      </c>
      <c r="AH23" s="2" t="s">
        <v>43</v>
      </c>
      <c r="AI23" s="48" t="s">
        <v>41</v>
      </c>
      <c r="AJ23" s="2" t="s">
        <v>43</v>
      </c>
      <c r="AK23" s="2" t="s">
        <v>43</v>
      </c>
      <c r="AL23" s="2" t="str">
        <f t="shared" si="14"/>
        <v>WO</v>
      </c>
      <c r="AM23" s="2" t="s">
        <v>43</v>
      </c>
      <c r="AN23" s="2" t="s">
        <v>43</v>
      </c>
      <c r="AO23" s="76" t="s">
        <v>43</v>
      </c>
      <c r="AP23" s="42"/>
      <c r="AQ23" s="42"/>
      <c r="AR23" s="3">
        <v>15</v>
      </c>
      <c r="AS23" s="3">
        <v>1015</v>
      </c>
      <c r="AT23" s="3" t="str">
        <f t="shared" si="4"/>
        <v>December</v>
      </c>
      <c r="AU23" s="36" t="s">
        <v>17</v>
      </c>
      <c r="AV23">
        <f t="shared" si="5"/>
        <v>24</v>
      </c>
      <c r="AW23">
        <f t="shared" si="6"/>
        <v>1</v>
      </c>
      <c r="AX23">
        <f t="shared" si="7"/>
        <v>2</v>
      </c>
      <c r="AY23">
        <f t="shared" si="8"/>
        <v>4</v>
      </c>
      <c r="AZ23">
        <f t="shared" si="9"/>
        <v>31</v>
      </c>
      <c r="BA23">
        <f t="shared" si="10"/>
        <v>30</v>
      </c>
      <c r="BB23" s="28">
        <v>45000</v>
      </c>
      <c r="BC23" s="29">
        <f t="shared" si="11"/>
        <v>1451.6129032258063</v>
      </c>
      <c r="BD23" s="28">
        <f t="shared" si="12"/>
        <v>1451.6129032258063</v>
      </c>
      <c r="BE23" s="28">
        <f t="shared" si="13"/>
        <v>43548.387096774197</v>
      </c>
    </row>
    <row r="24" spans="4:59" ht="15.6" x14ac:dyDescent="0.3">
      <c r="D24" s="42"/>
      <c r="E24" s="42"/>
      <c r="F24" s="42"/>
      <c r="G24" s="59">
        <v>16</v>
      </c>
      <c r="H24" s="10">
        <v>1016</v>
      </c>
      <c r="I24" s="11" t="s">
        <v>18</v>
      </c>
      <c r="J24" s="49">
        <f t="shared" si="3"/>
        <v>4</v>
      </c>
      <c r="K24" s="2" t="s">
        <v>43</v>
      </c>
      <c r="L24" s="2" t="s">
        <v>43</v>
      </c>
      <c r="M24" s="2" t="s">
        <v>43</v>
      </c>
      <c r="N24" s="2" t="s">
        <v>43</v>
      </c>
      <c r="O24" s="48" t="s">
        <v>41</v>
      </c>
      <c r="P24" s="2" t="s">
        <v>43</v>
      </c>
      <c r="Q24" s="2" t="str">
        <f t="shared" si="15"/>
        <v>WO</v>
      </c>
      <c r="R24" s="2" t="s">
        <v>43</v>
      </c>
      <c r="S24" s="2" t="s">
        <v>43</v>
      </c>
      <c r="T24" s="2" t="s">
        <v>43</v>
      </c>
      <c r="U24" s="2" t="s">
        <v>43</v>
      </c>
      <c r="V24" s="2" t="s">
        <v>43</v>
      </c>
      <c r="W24" s="2" t="s">
        <v>43</v>
      </c>
      <c r="X24" s="2" t="str">
        <f t="shared" si="15"/>
        <v>WO</v>
      </c>
      <c r="Y24" s="2" t="s">
        <v>43</v>
      </c>
      <c r="Z24" s="2" t="s">
        <v>43</v>
      </c>
      <c r="AA24" s="2" t="s">
        <v>43</v>
      </c>
      <c r="AB24" s="2" t="s">
        <v>43</v>
      </c>
      <c r="AC24" s="2" t="s">
        <v>43</v>
      </c>
      <c r="AD24" s="2" t="s">
        <v>43</v>
      </c>
      <c r="AE24" s="2" t="str">
        <f t="shared" si="14"/>
        <v>WO</v>
      </c>
      <c r="AF24" s="2" t="s">
        <v>43</v>
      </c>
      <c r="AG24" s="2" t="s">
        <v>43</v>
      </c>
      <c r="AH24" s="2" t="s">
        <v>43</v>
      </c>
      <c r="AI24" s="48" t="s">
        <v>41</v>
      </c>
      <c r="AJ24" s="2" t="s">
        <v>43</v>
      </c>
      <c r="AK24" s="2" t="s">
        <v>43</v>
      </c>
      <c r="AL24" s="2" t="str">
        <f t="shared" si="14"/>
        <v>WO</v>
      </c>
      <c r="AM24" s="2" t="s">
        <v>43</v>
      </c>
      <c r="AN24" s="2" t="s">
        <v>43</v>
      </c>
      <c r="AO24" s="76" t="s">
        <v>43</v>
      </c>
      <c r="AP24" s="42"/>
      <c r="AQ24" s="42"/>
      <c r="AR24" s="3">
        <v>16</v>
      </c>
      <c r="AS24" s="3">
        <v>1016</v>
      </c>
      <c r="AT24" s="3" t="str">
        <f t="shared" si="4"/>
        <v>December</v>
      </c>
      <c r="AU24" s="36" t="s">
        <v>18</v>
      </c>
      <c r="AV24">
        <f t="shared" si="5"/>
        <v>25</v>
      </c>
      <c r="AW24">
        <f t="shared" si="6"/>
        <v>0</v>
      </c>
      <c r="AX24">
        <f t="shared" si="7"/>
        <v>2</v>
      </c>
      <c r="AY24">
        <f t="shared" si="8"/>
        <v>4</v>
      </c>
      <c r="AZ24">
        <f t="shared" si="9"/>
        <v>31</v>
      </c>
      <c r="BA24">
        <f t="shared" si="10"/>
        <v>31</v>
      </c>
      <c r="BB24" s="28">
        <v>21000</v>
      </c>
      <c r="BC24" s="29">
        <f t="shared" si="11"/>
        <v>677.41935483870964</v>
      </c>
      <c r="BD24" s="28">
        <f t="shared" si="12"/>
        <v>0</v>
      </c>
      <c r="BE24" s="28">
        <f t="shared" si="13"/>
        <v>21000</v>
      </c>
    </row>
    <row r="25" spans="4:59" ht="15.6" x14ac:dyDescent="0.3">
      <c r="D25" s="42"/>
      <c r="E25" s="42"/>
      <c r="F25" s="42"/>
      <c r="G25" s="59">
        <v>17</v>
      </c>
      <c r="H25" s="10">
        <v>1017</v>
      </c>
      <c r="I25" s="11" t="s">
        <v>19</v>
      </c>
      <c r="J25" s="49">
        <f t="shared" si="3"/>
        <v>4</v>
      </c>
      <c r="K25" s="2" t="s">
        <v>43</v>
      </c>
      <c r="L25" s="2" t="s">
        <v>43</v>
      </c>
      <c r="M25" s="2" t="s">
        <v>43</v>
      </c>
      <c r="N25" s="2" t="s">
        <v>43</v>
      </c>
      <c r="O25" s="48" t="s">
        <v>41</v>
      </c>
      <c r="P25" s="2" t="s">
        <v>43</v>
      </c>
      <c r="Q25" s="2" t="str">
        <f t="shared" si="15"/>
        <v>WO</v>
      </c>
      <c r="R25" s="2" t="s">
        <v>43</v>
      </c>
      <c r="S25" s="2" t="s">
        <v>44</v>
      </c>
      <c r="T25" s="2" t="s">
        <v>43</v>
      </c>
      <c r="U25" s="2" t="s">
        <v>43</v>
      </c>
      <c r="V25" s="2" t="s">
        <v>43</v>
      </c>
      <c r="W25" s="2" t="s">
        <v>43</v>
      </c>
      <c r="X25" s="2" t="str">
        <f t="shared" si="15"/>
        <v>WO</v>
      </c>
      <c r="Y25" s="2" t="s">
        <v>43</v>
      </c>
      <c r="Z25" s="2" t="s">
        <v>43</v>
      </c>
      <c r="AA25" s="2" t="s">
        <v>43</v>
      </c>
      <c r="AB25" s="2" t="s">
        <v>44</v>
      </c>
      <c r="AC25" s="2" t="s">
        <v>43</v>
      </c>
      <c r="AD25" s="2" t="s">
        <v>43</v>
      </c>
      <c r="AE25" s="2" t="str">
        <f t="shared" si="14"/>
        <v>WO</v>
      </c>
      <c r="AF25" s="2" t="s">
        <v>43</v>
      </c>
      <c r="AG25" s="2" t="s">
        <v>43</v>
      </c>
      <c r="AH25" s="2" t="s">
        <v>43</v>
      </c>
      <c r="AI25" s="48" t="s">
        <v>41</v>
      </c>
      <c r="AJ25" s="2" t="s">
        <v>43</v>
      </c>
      <c r="AK25" s="2" t="s">
        <v>44</v>
      </c>
      <c r="AL25" s="2" t="str">
        <f t="shared" si="14"/>
        <v>WO</v>
      </c>
      <c r="AM25" s="2" t="s">
        <v>43</v>
      </c>
      <c r="AN25" s="2" t="s">
        <v>43</v>
      </c>
      <c r="AO25" s="76" t="s">
        <v>43</v>
      </c>
      <c r="AP25" s="42"/>
      <c r="AQ25" s="42"/>
      <c r="AR25" s="3">
        <v>17</v>
      </c>
      <c r="AS25" s="3">
        <v>1017</v>
      </c>
      <c r="AT25" s="3" t="str">
        <f t="shared" si="4"/>
        <v>December</v>
      </c>
      <c r="AU25" s="36" t="s">
        <v>19</v>
      </c>
      <c r="AV25">
        <f t="shared" si="5"/>
        <v>22</v>
      </c>
      <c r="AW25">
        <f t="shared" si="6"/>
        <v>3</v>
      </c>
      <c r="AX25">
        <f t="shared" si="7"/>
        <v>2</v>
      </c>
      <c r="AY25">
        <f t="shared" si="8"/>
        <v>4</v>
      </c>
      <c r="AZ25">
        <f t="shared" si="9"/>
        <v>31</v>
      </c>
      <c r="BA25">
        <f t="shared" si="10"/>
        <v>28</v>
      </c>
      <c r="BB25" s="28">
        <v>26000</v>
      </c>
      <c r="BC25" s="29">
        <f t="shared" si="11"/>
        <v>838.70967741935488</v>
      </c>
      <c r="BD25" s="28">
        <f t="shared" si="12"/>
        <v>2516.1290322580644</v>
      </c>
      <c r="BE25" s="28">
        <f t="shared" si="13"/>
        <v>23483.870967741936</v>
      </c>
    </row>
    <row r="26" spans="4:59" ht="15.6" x14ac:dyDescent="0.3">
      <c r="D26" s="42"/>
      <c r="E26" s="42"/>
      <c r="F26" s="42"/>
      <c r="G26" s="59">
        <v>18</v>
      </c>
      <c r="H26" s="10">
        <v>1018</v>
      </c>
      <c r="I26" s="11" t="s">
        <v>20</v>
      </c>
      <c r="J26" s="49">
        <f t="shared" si="3"/>
        <v>4</v>
      </c>
      <c r="K26" s="2" t="s">
        <v>44</v>
      </c>
      <c r="L26" s="2" t="s">
        <v>43</v>
      </c>
      <c r="M26" s="2" t="s">
        <v>43</v>
      </c>
      <c r="N26" s="2" t="s">
        <v>43</v>
      </c>
      <c r="O26" s="48" t="s">
        <v>41</v>
      </c>
      <c r="P26" s="2" t="s">
        <v>43</v>
      </c>
      <c r="Q26" s="2" t="str">
        <f t="shared" si="15"/>
        <v>WO</v>
      </c>
      <c r="R26" s="2" t="s">
        <v>43</v>
      </c>
      <c r="S26" s="2" t="s">
        <v>43</v>
      </c>
      <c r="T26" s="2" t="s">
        <v>43</v>
      </c>
      <c r="U26" s="2" t="s">
        <v>44</v>
      </c>
      <c r="V26" s="2" t="s">
        <v>43</v>
      </c>
      <c r="W26" s="2" t="s">
        <v>43</v>
      </c>
      <c r="X26" s="2" t="str">
        <f t="shared" si="15"/>
        <v>WO</v>
      </c>
      <c r="Y26" s="2" t="s">
        <v>43</v>
      </c>
      <c r="Z26" s="2" t="s">
        <v>43</v>
      </c>
      <c r="AA26" s="2" t="s">
        <v>43</v>
      </c>
      <c r="AB26" s="2" t="s">
        <v>43</v>
      </c>
      <c r="AC26" s="2" t="s">
        <v>43</v>
      </c>
      <c r="AD26" s="2" t="s">
        <v>43</v>
      </c>
      <c r="AE26" s="2" t="str">
        <f t="shared" si="14"/>
        <v>WO</v>
      </c>
      <c r="AF26" s="2" t="s">
        <v>43</v>
      </c>
      <c r="AG26" s="2" t="s">
        <v>43</v>
      </c>
      <c r="AH26" s="2" t="s">
        <v>43</v>
      </c>
      <c r="AI26" s="48" t="s">
        <v>41</v>
      </c>
      <c r="AJ26" s="2" t="s">
        <v>43</v>
      </c>
      <c r="AK26" s="2" t="s">
        <v>43</v>
      </c>
      <c r="AL26" s="2" t="str">
        <f t="shared" si="14"/>
        <v>WO</v>
      </c>
      <c r="AM26" s="2" t="s">
        <v>43</v>
      </c>
      <c r="AN26" s="2" t="s">
        <v>43</v>
      </c>
      <c r="AO26" s="76" t="s">
        <v>43</v>
      </c>
      <c r="AP26" s="42"/>
      <c r="AQ26" s="42"/>
      <c r="AR26" s="3">
        <v>18</v>
      </c>
      <c r="AS26" s="3">
        <v>1018</v>
      </c>
      <c r="AT26" s="3" t="str">
        <f t="shared" si="4"/>
        <v>December</v>
      </c>
      <c r="AU26" s="36" t="s">
        <v>20</v>
      </c>
      <c r="AV26">
        <f t="shared" si="5"/>
        <v>23</v>
      </c>
      <c r="AW26">
        <f t="shared" si="6"/>
        <v>2</v>
      </c>
      <c r="AX26">
        <f t="shared" si="7"/>
        <v>2</v>
      </c>
      <c r="AY26">
        <f t="shared" si="8"/>
        <v>4</v>
      </c>
      <c r="AZ26">
        <f t="shared" si="9"/>
        <v>31</v>
      </c>
      <c r="BA26">
        <f t="shared" si="10"/>
        <v>29</v>
      </c>
      <c r="BB26" s="28">
        <v>35000</v>
      </c>
      <c r="BC26" s="29">
        <f t="shared" si="11"/>
        <v>1129.0322580645161</v>
      </c>
      <c r="BD26" s="28">
        <f t="shared" si="12"/>
        <v>2258.0645161290322</v>
      </c>
      <c r="BE26" s="28">
        <f t="shared" si="13"/>
        <v>32741.93548387097</v>
      </c>
    </row>
    <row r="27" spans="4:59" ht="15.6" x14ac:dyDescent="0.3">
      <c r="D27" s="42"/>
      <c r="E27" s="42"/>
      <c r="F27" s="42"/>
      <c r="G27" s="59">
        <v>19</v>
      </c>
      <c r="H27" s="10">
        <v>1019</v>
      </c>
      <c r="I27" s="11" t="s">
        <v>21</v>
      </c>
      <c r="J27" s="49">
        <f t="shared" si="3"/>
        <v>4</v>
      </c>
      <c r="K27" s="2" t="s">
        <v>43</v>
      </c>
      <c r="L27" s="2" t="s">
        <v>43</v>
      </c>
      <c r="M27" s="2" t="s">
        <v>43</v>
      </c>
      <c r="N27" s="2" t="s">
        <v>43</v>
      </c>
      <c r="O27" s="48" t="s">
        <v>41</v>
      </c>
      <c r="P27" s="2" t="s">
        <v>43</v>
      </c>
      <c r="Q27" s="2" t="str">
        <f t="shared" si="15"/>
        <v>WO</v>
      </c>
      <c r="R27" s="2" t="s">
        <v>43</v>
      </c>
      <c r="S27" s="2" t="s">
        <v>43</v>
      </c>
      <c r="T27" s="2" t="s">
        <v>43</v>
      </c>
      <c r="U27" s="2" t="s">
        <v>43</v>
      </c>
      <c r="V27" s="2" t="s">
        <v>43</v>
      </c>
      <c r="W27" s="2" t="s">
        <v>43</v>
      </c>
      <c r="X27" s="2" t="str">
        <f t="shared" si="15"/>
        <v>WO</v>
      </c>
      <c r="Y27" s="2" t="s">
        <v>43</v>
      </c>
      <c r="Z27" s="2" t="s">
        <v>43</v>
      </c>
      <c r="AA27" s="2" t="s">
        <v>43</v>
      </c>
      <c r="AB27" s="2" t="s">
        <v>43</v>
      </c>
      <c r="AC27" s="2" t="s">
        <v>43</v>
      </c>
      <c r="AD27" s="2" t="s">
        <v>43</v>
      </c>
      <c r="AE27" s="2" t="str">
        <f t="shared" si="14"/>
        <v>WO</v>
      </c>
      <c r="AF27" s="2" t="s">
        <v>43</v>
      </c>
      <c r="AG27" s="2" t="s">
        <v>43</v>
      </c>
      <c r="AH27" s="2" t="s">
        <v>43</v>
      </c>
      <c r="AI27" s="48" t="s">
        <v>41</v>
      </c>
      <c r="AJ27" s="2" t="s">
        <v>43</v>
      </c>
      <c r="AK27" s="2" t="s">
        <v>43</v>
      </c>
      <c r="AL27" s="2" t="str">
        <f t="shared" si="14"/>
        <v>WO</v>
      </c>
      <c r="AM27" s="2" t="s">
        <v>43</v>
      </c>
      <c r="AN27" s="2" t="s">
        <v>44</v>
      </c>
      <c r="AO27" s="76" t="s">
        <v>43</v>
      </c>
      <c r="AP27" s="42"/>
      <c r="AQ27" s="42"/>
      <c r="AR27" s="3">
        <v>19</v>
      </c>
      <c r="AS27" s="3">
        <v>1019</v>
      </c>
      <c r="AT27" s="3" t="str">
        <f t="shared" si="4"/>
        <v>December</v>
      </c>
      <c r="AU27" s="36" t="s">
        <v>21</v>
      </c>
      <c r="AV27">
        <f t="shared" si="5"/>
        <v>24</v>
      </c>
      <c r="AW27">
        <f t="shared" si="6"/>
        <v>1</v>
      </c>
      <c r="AX27">
        <f t="shared" si="7"/>
        <v>2</v>
      </c>
      <c r="AY27">
        <f t="shared" si="8"/>
        <v>4</v>
      </c>
      <c r="AZ27">
        <f t="shared" si="9"/>
        <v>31</v>
      </c>
      <c r="BA27">
        <f t="shared" si="10"/>
        <v>30</v>
      </c>
      <c r="BB27" s="28">
        <v>55000</v>
      </c>
      <c r="BC27" s="29">
        <f t="shared" si="11"/>
        <v>1774.1935483870968</v>
      </c>
      <c r="BD27" s="28">
        <f t="shared" si="12"/>
        <v>1774.1935483870968</v>
      </c>
      <c r="BE27" s="28">
        <f t="shared" si="13"/>
        <v>53225.806451612902</v>
      </c>
    </row>
    <row r="28" spans="4:59" ht="16.2" thickBot="1" x14ac:dyDescent="0.35">
      <c r="D28" s="42"/>
      <c r="E28" s="42"/>
      <c r="F28" s="42"/>
      <c r="G28" s="61">
        <v>20</v>
      </c>
      <c r="H28" s="62">
        <v>1020</v>
      </c>
      <c r="I28" s="63" t="s">
        <v>22</v>
      </c>
      <c r="J28" s="64">
        <f t="shared" si="3"/>
        <v>4</v>
      </c>
      <c r="K28" s="66" t="s">
        <v>43</v>
      </c>
      <c r="L28" s="66" t="s">
        <v>43</v>
      </c>
      <c r="M28" s="66" t="s">
        <v>43</v>
      </c>
      <c r="N28" s="66" t="s">
        <v>43</v>
      </c>
      <c r="O28" s="65" t="s">
        <v>41</v>
      </c>
      <c r="P28" s="66" t="s">
        <v>43</v>
      </c>
      <c r="Q28" s="66" t="str">
        <f t="shared" si="15"/>
        <v>WO</v>
      </c>
      <c r="R28" s="66" t="s">
        <v>43</v>
      </c>
      <c r="S28" s="66" t="s">
        <v>43</v>
      </c>
      <c r="T28" s="66" t="s">
        <v>43</v>
      </c>
      <c r="U28" s="66" t="s">
        <v>43</v>
      </c>
      <c r="V28" s="66" t="s">
        <v>43</v>
      </c>
      <c r="W28" s="66" t="s">
        <v>43</v>
      </c>
      <c r="X28" s="66" t="str">
        <f t="shared" si="15"/>
        <v>WO</v>
      </c>
      <c r="Y28" s="66" t="s">
        <v>44</v>
      </c>
      <c r="Z28" s="66" t="s">
        <v>43</v>
      </c>
      <c r="AA28" s="66" t="s">
        <v>43</v>
      </c>
      <c r="AB28" s="66" t="s">
        <v>43</v>
      </c>
      <c r="AC28" s="66" t="s">
        <v>43</v>
      </c>
      <c r="AD28" s="66" t="s">
        <v>43</v>
      </c>
      <c r="AE28" s="66" t="str">
        <f t="shared" si="14"/>
        <v>WO</v>
      </c>
      <c r="AF28" s="66" t="s">
        <v>43</v>
      </c>
      <c r="AG28" s="66" t="s">
        <v>43</v>
      </c>
      <c r="AH28" s="66" t="s">
        <v>44</v>
      </c>
      <c r="AI28" s="65" t="s">
        <v>41</v>
      </c>
      <c r="AJ28" s="66" t="s">
        <v>43</v>
      </c>
      <c r="AK28" s="66" t="s">
        <v>43</v>
      </c>
      <c r="AL28" s="66" t="str">
        <f t="shared" si="14"/>
        <v>WO</v>
      </c>
      <c r="AM28" s="66" t="s">
        <v>43</v>
      </c>
      <c r="AN28" s="66" t="s">
        <v>43</v>
      </c>
      <c r="AO28" s="77" t="s">
        <v>43</v>
      </c>
      <c r="AP28" s="42"/>
      <c r="AQ28" s="42"/>
      <c r="AR28" s="37">
        <v>20</v>
      </c>
      <c r="AS28" s="37">
        <v>1020</v>
      </c>
      <c r="AT28" s="37" t="str">
        <f t="shared" si="4"/>
        <v>December</v>
      </c>
      <c r="AU28" s="38" t="s">
        <v>22</v>
      </c>
      <c r="AV28" s="33">
        <f t="shared" si="5"/>
        <v>23</v>
      </c>
      <c r="AW28" s="33">
        <f t="shared" si="6"/>
        <v>2</v>
      </c>
      <c r="AX28" s="33">
        <f t="shared" si="7"/>
        <v>2</v>
      </c>
      <c r="AY28" s="33">
        <f t="shared" si="8"/>
        <v>4</v>
      </c>
      <c r="AZ28" s="33">
        <f t="shared" si="9"/>
        <v>31</v>
      </c>
      <c r="BA28" s="33">
        <f t="shared" si="10"/>
        <v>29</v>
      </c>
      <c r="BB28" s="34">
        <v>44000</v>
      </c>
      <c r="BC28" s="35">
        <f t="shared" si="11"/>
        <v>1419.3548387096773</v>
      </c>
      <c r="BD28" s="34">
        <f t="shared" si="12"/>
        <v>2838.7096774193546</v>
      </c>
      <c r="BE28" s="34">
        <f t="shared" si="13"/>
        <v>41161.290322580644</v>
      </c>
    </row>
    <row r="29" spans="4:59" x14ac:dyDescent="0.3"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</row>
    <row r="30" spans="4:59" x14ac:dyDescent="0.3"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</row>
    <row r="31" spans="4:59" x14ac:dyDescent="0.3"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</row>
    <row r="32" spans="4:59" x14ac:dyDescent="0.3"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</row>
    <row r="33" spans="4:59" x14ac:dyDescent="0.3"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</row>
    <row r="34" spans="4:59" x14ac:dyDescent="0.3"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4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</row>
    <row r="35" spans="4:59" x14ac:dyDescent="0.3"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</row>
    <row r="36" spans="4:59" x14ac:dyDescent="0.3"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</row>
    <row r="37" spans="4:59" x14ac:dyDescent="0.3"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</row>
    <row r="38" spans="4:59" x14ac:dyDescent="0.3"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</row>
    <row r="39" spans="4:59" x14ac:dyDescent="0.3"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</row>
    <row r="40" spans="4:59" x14ac:dyDescent="0.3"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</row>
    <row r="41" spans="4:59" x14ac:dyDescent="0.3"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</row>
    <row r="42" spans="4:59" x14ac:dyDescent="0.3"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</row>
    <row r="43" spans="4:59" x14ac:dyDescent="0.3"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</row>
    <row r="44" spans="4:59" x14ac:dyDescent="0.3"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</row>
  </sheetData>
  <mergeCells count="1">
    <mergeCell ref="G7:I7"/>
  </mergeCells>
  <conditionalFormatting sqref="K9:AO28">
    <cfRule type="containsText" dxfId="3" priority="1" operator="containsText" text="L">
      <formula>NOT(ISERROR(SEARCH("L",K9)))</formula>
    </cfRule>
    <cfRule type="containsText" dxfId="2" priority="2" operator="containsText" text="A">
      <formula>NOT(ISERROR(SEARCH("A",K9)))</formula>
    </cfRule>
    <cfRule type="containsText" dxfId="1" priority="3" operator="containsText" text="P">
      <formula>NOT(ISERROR(SEARCH("P",K9)))</formula>
    </cfRule>
    <cfRule type="containsText" dxfId="0" priority="4" operator="containsText" text="WO">
      <formula>NOT(ISERROR(SEARCH("WO",K9)))</formula>
    </cfRule>
  </conditionalFormatting>
  <dataValidations count="1">
    <dataValidation type="list" allowBlank="1" showInputMessage="1" showErrorMessage="1" sqref="AM9:AO28 R9:W28 Y9:AD28 K9:P28 AF9:AK28" xr:uid="{3D28E204-CC61-44BB-9992-E0F046B06CB1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9FAD0D-8281-43A2-AE3D-2F1D7DF18819}">
          <x14:formula1>
            <xm:f>Rough!$A$1:$A$12</xm:f>
          </x14:formula1>
          <xm:sqref>H5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Sheet1</vt:lpstr>
      <vt:lpstr>Sheet3</vt:lpstr>
      <vt:lpstr>Rough</vt:lpstr>
      <vt:lpstr>jan</vt:lpstr>
      <vt:lpstr>Feb</vt:lpstr>
      <vt:lpstr>Mar</vt:lpstr>
      <vt:lpstr>Apr</vt:lpstr>
      <vt:lpstr>May</vt:lpstr>
      <vt:lpstr>Jun</vt:lpstr>
      <vt:lpstr>Jul</vt:lpstr>
      <vt:lpstr>Aug</vt:lpstr>
      <vt:lpstr>Sept</vt:lpstr>
      <vt:lpstr>Oct</vt:lpstr>
      <vt:lpstr>Nov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SINGH</dc:creator>
  <cp:lastModifiedBy>ANURAG SINGH</cp:lastModifiedBy>
  <dcterms:created xsi:type="dcterms:W3CDTF">2025-11-24T04:22:40Z</dcterms:created>
  <dcterms:modified xsi:type="dcterms:W3CDTF">2025-11-26T05:06:05Z</dcterms:modified>
</cp:coreProperties>
</file>